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Change Log" sheetId="1" state="visible" r:id="rId3"/>
    <sheet name="Risk Scoring Calculator" sheetId="2" state="visible" r:id="rId4"/>
    <sheet name="Score Reference" sheetId="3" state="visible" r:id="rId5"/>
    <sheet name="Country Risk Reference" sheetId="4" state="visible" r:id="rId6"/>
    <sheet name="Methodolog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<sst xmlns="http://schemas.openxmlformats.org/spreadsheetml/2006/main" count="1080" uniqueCount="514">
  <si>
    <t xml:space="preserve">ONBOARDA — RISK SCORING MODEL: PROPOSED CHANGES</t>
  </si>
  <si>
    <t xml:space="preserve">Review copy — changes highlighted in yellow (modified), green (added), red (removed)</t>
  </si>
  <si>
    <t xml:space="preserve">Change ID</t>
  </si>
  <si>
    <t xml:space="preserve">Severity</t>
  </si>
  <si>
    <t xml:space="preserve">Sheet</t>
  </si>
  <si>
    <t xml:space="preserve">Description</t>
  </si>
  <si>
    <t xml:space="preserve">Old Value</t>
  </si>
  <si>
    <t xml:space="preserve">New Value</t>
  </si>
  <si>
    <t xml:space="preserve">C-01</t>
  </si>
  <si>
    <t xml:space="preserve">CRITICAL</t>
  </si>
  <si>
    <t xml:space="preserve">Country Risk Reference</t>
  </si>
  <si>
    <t xml:space="preserve">Add BVI (British Virgin Islands) — was missing entirely. Secrecy jurisdiction, must score 4.</t>
  </si>
  <si>
    <t xml:space="preserve">Not listed (defaults to 2 in code)</t>
  </si>
  <si>
    <t xml:space="preserve">Score 4 — Very High Risk</t>
  </si>
  <si>
    <t xml:space="preserve">C-02</t>
  </si>
  <si>
    <t xml:space="preserve">Add Cayman Islands — was missing entirely. Secrecy jurisdiction, must score 4.</t>
  </si>
  <si>
    <t xml:space="preserve">C-03</t>
  </si>
  <si>
    <t xml:space="preserve">Add Panama — was missing entirely. Secrecy jurisdiction, must score 4.</t>
  </si>
  <si>
    <t xml:space="preserve">C-04</t>
  </si>
  <si>
    <t xml:space="preserve">HIGH</t>
  </si>
  <si>
    <t xml:space="preserve">Reclassify Seychelles from score 2 (Medium) to score 3 (High). IFC/FSA regulated but frequently used in opaque structures.</t>
  </si>
  <si>
    <t xml:space="preserve">Score 2 — Medium Risk</t>
  </si>
  <si>
    <t xml:space="preserve">Score 3 — High Risk</t>
  </si>
  <si>
    <t xml:space="preserve">C-05</t>
  </si>
  <si>
    <t xml:space="preserve">Reclassify Mauritius from score 2 to score 2 (unchanged but add note). Previously EU-listed. Consider whether score 2 is appropriate given its use in intermediary structures.</t>
  </si>
  <si>
    <t xml:space="preserve">Score 2 (no change)</t>
  </si>
  <si>
    <t xml:space="preserve">Score 2 (note added)</t>
  </si>
  <si>
    <t xml:space="preserve">C-06</t>
  </si>
  <si>
    <t xml:space="preserve">Add Bermuda — missing secrecy jurisdiction. Score 3 (regulated but offshore).</t>
  </si>
  <si>
    <t xml:space="preserve">Not listed</t>
  </si>
  <si>
    <t xml:space="preserve">C-07</t>
  </si>
  <si>
    <t xml:space="preserve">Add Jersey — missing secrecy jurisdiction. Score 2 (well-regulated Crown Dependency).</t>
  </si>
  <si>
    <t xml:space="preserve">C-08</t>
  </si>
  <si>
    <t xml:space="preserve">Add Guernsey — missing. Score 2 (well-regulated Crown Dependency).</t>
  </si>
  <si>
    <t xml:space="preserve">C-09</t>
  </si>
  <si>
    <t xml:space="preserve">Add Isle of Man — missing. Score 2 (Crown Dependency, regulated).</t>
  </si>
  <si>
    <t xml:space="preserve">C-10</t>
  </si>
  <si>
    <t xml:space="preserve">Add Liechtenstein — missing. Score 2 (EEA member, FATF member).</t>
  </si>
  <si>
    <t xml:space="preserve">C-11</t>
  </si>
  <si>
    <t xml:space="preserve">Add Vanuatu — missing secrecy jurisdiction. Score 3.</t>
  </si>
  <si>
    <t xml:space="preserve">C-12</t>
  </si>
  <si>
    <t xml:space="preserve">Add Samoa — missing secrecy jurisdiction. Score 3.</t>
  </si>
  <si>
    <t xml:space="preserve">C-13</t>
  </si>
  <si>
    <t xml:space="preserve">Add Marshall Islands — missing secrecy jurisdiction. Score 3.</t>
  </si>
  <si>
    <t xml:space="preserve">C-14</t>
  </si>
  <si>
    <t xml:space="preserve">MEDIUM</t>
  </si>
  <si>
    <t xml:space="preserve">Reclassify Spain from score 2 to score 1. EU founding member, FATF member, strong AML.</t>
  </si>
  <si>
    <t xml:space="preserve">Score 1 — Low Risk</t>
  </si>
  <si>
    <t xml:space="preserve">C-15</t>
  </si>
  <si>
    <t xml:space="preserve">Add Portugal — missing. EU member, FATF member. Score 1.</t>
  </si>
  <si>
    <t xml:space="preserve">C-16</t>
  </si>
  <si>
    <t xml:space="preserve">Add Italy — missing. EU founding member, FATF founding member. Score 1.</t>
  </si>
  <si>
    <t xml:space="preserve">C-17</t>
  </si>
  <si>
    <t xml:space="preserve">Add Estonia — missing. EU member, growing fintech hub. Score 2.</t>
  </si>
  <si>
    <t xml:space="preserve">C-18</t>
  </si>
  <si>
    <t xml:space="preserve">Add Pakistan — missing. FATF-style body, previously grey-listed. Score 2.</t>
  </si>
  <si>
    <t xml:space="preserve">C-19</t>
  </si>
  <si>
    <t xml:space="preserve">Add Iraq — missing. Conflict zone, sanctions exposure. Score 3.</t>
  </si>
  <si>
    <t xml:space="preserve">C-20</t>
  </si>
  <si>
    <t xml:space="preserve">Score Reference (2.3)</t>
  </si>
  <si>
    <t xml:space="preserve">Clarify that secrecy jurisdictions (BVI, Panama, Cayman, etc.) score 4, not 3. The code currently caps at 3.</t>
  </si>
  <si>
    <t xml:space="preserve">Score reference says 4 (correct)</t>
  </si>
  <si>
    <t xml:space="preserve">No change to Excel — code must be fixed to match</t>
  </si>
  <si>
    <t xml:space="preserve">C-21</t>
  </si>
  <si>
    <t xml:space="preserve">Methodology</t>
  </si>
  <si>
    <t xml:space="preserve">Recalibrate risk thresholds to match code formula (x-1)/3*100 output range. The code formula maps 1-&gt;0, 4-&gt;100 (correct). Previous thresholds assumed /4*100 range. New thresholds: Low 0-29, Medium 30-49, High 50-69, Very High 70-100.</t>
  </si>
  <si>
    <t xml:space="preserve">Low 0-39, Medium 40-54, High 55-69, Very High 70-100</t>
  </si>
  <si>
    <t xml:space="preserve">Low 0-29, Medium 30-49, High 50-69, Very High 70-100</t>
  </si>
  <si>
    <t xml:space="preserve">C-22</t>
  </si>
  <si>
    <t xml:space="preserve">Score Reference (4.1)</t>
  </si>
  <si>
    <t xml:space="preserve">Add Hospitality / Tourism / Travel sector — present in reference but missing from code.</t>
  </si>
  <si>
    <t xml:space="preserve">Not in code SECTOR_SCORES</t>
  </si>
  <si>
    <t xml:space="preserve">Must add to code: score 2</t>
  </si>
  <si>
    <t xml:space="preserve">C-23</t>
  </si>
  <si>
    <t xml:space="preserve">Add Private Banking / Wealth Management — present in reference but missing from code.</t>
  </si>
  <si>
    <t xml:space="preserve">Must add to code: score 3</t>
  </si>
  <si>
    <t xml:space="preserve">C-24</t>
  </si>
  <si>
    <t xml:space="preserve">LOW</t>
  </si>
  <si>
    <t xml:space="preserve">Add Legal / Accounting / Advisory Services — partially covered in code but could be more explicit.</t>
  </si>
  <si>
    <t xml:space="preserve">Partially covered via 'advisory'</t>
  </si>
  <si>
    <t xml:space="preserve">Explicit mapping recommended in code</t>
  </si>
  <si>
    <t xml:space="preserve">C-25</t>
  </si>
  <si>
    <t xml:space="preserve">INFO</t>
  </si>
  <si>
    <t xml:space="preserve">Update version to v1.6. Document all changes in version control section.</t>
  </si>
  <si>
    <t xml:space="preserve">Version 1.5 — 17 March 2026</t>
  </si>
  <si>
    <t xml:space="preserve">Version 1.6 — 26 March 2026</t>
  </si>
  <si>
    <t xml:space="preserve">ARIE FINANCE LTD  —  CLIENT RISK SCORING MODEL</t>
  </si>
  <si>
    <t xml:space="preserve">AML / CFT Risk Assessment Framework  |  Based on FATF Risk-Based Approach (Banking Sector)</t>
  </si>
  <si>
    <t xml:space="preserve">Client / Entity Name:</t>
  </si>
  <si>
    <t xml:space="preserve">Application Reference:</t>
  </si>
  <si>
    <t xml:space="preserve">Assessment Date:</t>
  </si>
  <si>
    <t xml:space="preserve">17 March 2026</t>
  </si>
  <si>
    <t xml:space="preserve">Assessed By:</t>
  </si>
  <si>
    <t xml:space="preserve">RISK FACTOR</t>
  </si>
  <si>
    <t xml:space="preserve">SELECTION</t>
  </si>
  <si>
    <t xml:space="preserve">SCORE (1–4)</t>
  </si>
  <si>
    <t xml:space="preserve">SUB-FACTOR WEIGHT</t>
  </si>
  <si>
    <t xml:space="preserve">WEIGHTED SCORE</t>
  </si>
  <si>
    <t xml:space="preserve">  DIMENSION 1: CUSTOMER / ENTITY RISK    |    Dimension Weight: 30%</t>
  </si>
  <si>
    <t xml:space="preserve">1.1   Entity Type</t>
  </si>
  <si>
    <t xml:space="preserve">1.2   Ownership Structure</t>
  </si>
  <si>
    <t xml:space="preserve">1.3   PEP Status</t>
  </si>
  <si>
    <t xml:space="preserve">1.4   Adverse Media / Negative News</t>
  </si>
  <si>
    <t xml:space="preserve">1.5   Source of Wealth</t>
  </si>
  <si>
    <t xml:space="preserve">1.6   Initial Source of Funds</t>
  </si>
  <si>
    <t xml:space="preserve">  DIMENSION 1 SCORE</t>
  </si>
  <si>
    <t xml:space="preserve">Dimension Score (1–4)</t>
  </si>
  <si>
    <t xml:space="preserve">  DIMENSION 2: GEOGRAPHIC RISK    |    Dimension Weight: 25%</t>
  </si>
  <si>
    <t xml:space="preserve">2.1   Country of Incorporation</t>
  </si>
  <si>
    <t xml:space="preserve">2.2   UBO Nationalities</t>
  </si>
  <si>
    <t xml:space="preserve">2.3   Intermediary Shareholder Jurisdictions</t>
  </si>
  <si>
    <t xml:space="preserve">2.4   Countries of Operation</t>
  </si>
  <si>
    <t xml:space="preserve">2.5   Target Markets / Payment Corridors</t>
  </si>
  <si>
    <t xml:space="preserve">  DIMENSION 2 SCORE</t>
  </si>
  <si>
    <t xml:space="preserve">  DIMENSION 3: PRODUCT / SERVICE RISK    |    Dimension Weight: 20%</t>
  </si>
  <si>
    <t xml:space="preserve">3.1   Primary Service Required</t>
  </si>
  <si>
    <t xml:space="preserve">Domestic payments only (single currency)</t>
  </si>
  <si>
    <t xml:space="preserve">3.2   Expected Monthly Transaction Volume</t>
  </si>
  <si>
    <t xml:space="preserve">3.3   Transaction Complexity &amp; Corridors</t>
  </si>
  <si>
    <t xml:space="preserve">  DIMENSION 3 SCORE</t>
  </si>
  <si>
    <t xml:space="preserve">  DIMENSION 4: INDUSTRY / SECTOR RISK    |    Dimension Weight: 15%</t>
  </si>
  <si>
    <t xml:space="preserve">4.1   Business Sector / Industry</t>
  </si>
  <si>
    <t xml:space="preserve">  DIMENSION 4 SCORE</t>
  </si>
  <si>
    <t xml:space="preserve">  DIMENSION 5: DELIVERY CHANNEL RISK    |    Dimension Weight: 10%</t>
  </si>
  <si>
    <t xml:space="preserve">5.1   Introduction / Referral Method</t>
  </si>
  <si>
    <t xml:space="preserve">5.2   Customer Interaction Type</t>
  </si>
  <si>
    <t xml:space="preserve">  DIMENSION 5 SCORE</t>
  </si>
  <si>
    <t xml:space="preserve">  OVERALL RISK ASSESSMENT</t>
  </si>
  <si>
    <t xml:space="preserve">  WEIGHTED COMPOSITE SCORE</t>
  </si>
  <si>
    <t xml:space="preserve">Normalised score out of 100</t>
  </si>
  <si>
    <t xml:space="preserve">  RISK RATING</t>
  </si>
  <si>
    <t xml:space="preserve">Low (0–29)  |  Medium (30–49)  |  High (50–69)  |  Very High (70–100)</t>
  </si>
  <si>
    <t xml:space="preserve">  DUE DILIGENCE REQUIREMENT</t>
  </si>
  <si>
    <t xml:space="preserve">  COMPLIANCE APPROVAL FLAG</t>
  </si>
  <si>
    <t xml:space="preserve">Source: ARIE Finance Ltd — AML/CFT Risk Scoring Model v1.5  |  FATF Risk-Based Approach (Banking Sector) Guidance  |  Last Updated: March 2026</t>
  </si>
  <si>
    <t xml:space="preserve">ARIE FINANCE LTD — SCORE REFERENCE DATA</t>
  </si>
  <si>
    <t xml:space="preserve">1.1  Entity Type</t>
  </si>
  <si>
    <t xml:space="preserve">Listed Company on Regulated Exchange</t>
  </si>
  <si>
    <t xml:space="preserve">Low Risk</t>
  </si>
  <si>
    <t xml:space="preserve">Regulated Financial Institution</t>
  </si>
  <si>
    <t xml:space="preserve">Government / Public Sector Entity</t>
  </si>
  <si>
    <t xml:space="preserve">Large Private Company (revenue &gt; USD 10m)</t>
  </si>
  <si>
    <t xml:space="preserve">Medium Risk</t>
  </si>
  <si>
    <t xml:space="preserve">SME / Private Company</t>
  </si>
  <si>
    <t xml:space="preserve">Newly Incorporated Company (&lt; 1 year)</t>
  </si>
  <si>
    <t xml:space="preserve">High Risk</t>
  </si>
  <si>
    <t xml:space="preserve">Trust</t>
  </si>
  <si>
    <t xml:space="preserve">Foundation</t>
  </si>
  <si>
    <t xml:space="preserve">Regulated Fund (CIS / Licensed)</t>
  </si>
  <si>
    <t xml:space="preserve">Unregulated Fund / SPV</t>
  </si>
  <si>
    <t xml:space="preserve">Very High Risk</t>
  </si>
  <si>
    <t xml:space="preserve">Non-Profit Organisation / NGO</t>
  </si>
  <si>
    <t xml:space="preserve">Shell Company / Special Purpose Vehicle</t>
  </si>
  <si>
    <t xml:space="preserve">1.2  Ownership Structure</t>
  </si>
  <si>
    <t xml:space="preserve">Simple — direct identifiable UBOs</t>
  </si>
  <si>
    <t xml:space="preserve">1–2 ownership layers</t>
  </si>
  <si>
    <t xml:space="preserve">3+ ownership layers / nominee shareholders</t>
  </si>
  <si>
    <t xml:space="preserve">Complex multi-jurisdiction / opaque structure</t>
  </si>
  <si>
    <t xml:space="preserve">1.3  PEP Status</t>
  </si>
  <si>
    <t xml:space="preserve">No PEP connection</t>
  </si>
  <si>
    <t xml:space="preserve">Close associate or family member of PEP</t>
  </si>
  <si>
    <t xml:space="preserve">Domestic Politically Exposed Person (PEP)</t>
  </si>
  <si>
    <t xml:space="preserve">Foreign / International PEP</t>
  </si>
  <si>
    <t xml:space="preserve">1.4  Adverse Media / Negative News</t>
  </si>
  <si>
    <t xml:space="preserve">No adverse media identified</t>
  </si>
  <si>
    <t xml:space="preserve">Minor or unsubstantiated reports</t>
  </si>
  <si>
    <t xml:space="preserve">Confirmed adverse media / regulatory action</t>
  </si>
  <si>
    <t xml:space="preserve">2.1  Country of Incorporation</t>
  </si>
  <si>
    <t xml:space="preserve">FATF member — low risk jurisdiction</t>
  </si>
  <si>
    <t xml:space="preserve">FATF member — standard / emerging jurisdiction</t>
  </si>
  <si>
    <t xml:space="preserve">FATF Grey List country</t>
  </si>
  <si>
    <t xml:space="preserve">FATF Black List / sanctioned country</t>
  </si>
  <si>
    <t xml:space="preserve">2.4  Countries of Operation</t>
  </si>
  <si>
    <t xml:space="preserve">All low-risk jurisdictions</t>
  </si>
  <si>
    <t xml:space="preserve">Predominantly low-risk with some medium-risk jurisdictions</t>
  </si>
  <si>
    <t xml:space="preserve">Includes high-risk jurisdictions</t>
  </si>
  <si>
    <t xml:space="preserve">Predominantly high-risk or sanctioned jurisdictions</t>
  </si>
  <si>
    <t xml:space="preserve">2.5  Target Markets / Payment Corridors</t>
  </si>
  <si>
    <t xml:space="preserve">Developed markets only</t>
  </si>
  <si>
    <t xml:space="preserve">Mix of developed and emerging markets</t>
  </si>
  <si>
    <t xml:space="preserve">Predominantly emerging / frontier markets</t>
  </si>
  <si>
    <t xml:space="preserve">Includes sanctioned or very high-risk markets</t>
  </si>
  <si>
    <t xml:space="preserve">3.1  Primary Service Required</t>
  </si>
  <si>
    <t xml:space="preserve">Multi-currency corporate accounts</t>
  </si>
  <si>
    <t xml:space="preserve">Cross-border international transfers</t>
  </si>
  <si>
    <t xml:space="preserve">3.2  Expected Monthly Transaction Volume</t>
  </si>
  <si>
    <t xml:space="preserve">Under USD 50,000 per month</t>
  </si>
  <si>
    <t xml:space="preserve">USD 50,000 to USD 500,000 per month</t>
  </si>
  <si>
    <t xml:space="preserve">USD 500,000 to USD 5,000,000 per month</t>
  </si>
  <si>
    <t xml:space="preserve">Over USD 5,000,000 per month</t>
  </si>
  <si>
    <t xml:space="preserve">3.3  Transaction Complexity &amp; Corridors</t>
  </si>
  <si>
    <t xml:space="preserve">Simple — single currency, domestic corridors</t>
  </si>
  <si>
    <t xml:space="preserve">Standard — multi-currency, low-risk corridors</t>
  </si>
  <si>
    <t xml:space="preserve">Complex — multiple international corridors</t>
  </si>
  <si>
    <t xml:space="preserve">Very complex — includes high-risk corridors</t>
  </si>
  <si>
    <t xml:space="preserve">4.1  Business Sector / Industry</t>
  </si>
  <si>
    <t xml:space="preserve">Regulated Financial Institution / Bank</t>
  </si>
  <si>
    <t xml:space="preserve">Government / Public Sector</t>
  </si>
  <si>
    <t xml:space="preserve">Listed Company — Main Board</t>
  </si>
  <si>
    <t xml:space="preserve">Healthcare / Pharmaceuticals</t>
  </si>
  <si>
    <t xml:space="preserve">Technology / Software / SaaS</t>
  </si>
  <si>
    <t xml:space="preserve">Manufacturing / Industrial</t>
  </si>
  <si>
    <t xml:space="preserve">Retail / E-commerce</t>
  </si>
  <si>
    <t xml:space="preserve">Hospitality / Tourism / Travel</t>
  </si>
  <si>
    <t xml:space="preserve">Logistics / Supply Chain / Shipping</t>
  </si>
  <si>
    <t xml:space="preserve">Education / Training</t>
  </si>
  <si>
    <t xml:space="preserve">Media / Entertainment / Publishing</t>
  </si>
  <si>
    <t xml:space="preserve">Import / Export / International Trade</t>
  </si>
  <si>
    <t xml:space="preserve">Real Estate / Property</t>
  </si>
  <si>
    <t xml:space="preserve">Legal / Accounting / Advisory Services</t>
  </si>
  <si>
    <t xml:space="preserve">Money Service Business (MSB) / Remittance</t>
  </si>
  <si>
    <t xml:space="preserve">Forex / CFD / Derivatives Broker</t>
  </si>
  <si>
    <t xml:space="preserve">Private Banking / Wealth Management</t>
  </si>
  <si>
    <t xml:space="preserve">Precious Metals / Stones / Jewellery</t>
  </si>
  <si>
    <t xml:space="preserve">Non-Profit Organisation / NGO / Charity</t>
  </si>
  <si>
    <t xml:space="preserve">Oil &amp; Gas / Mining / Extractives</t>
  </si>
  <si>
    <t xml:space="preserve">Construction / Infrastructure</t>
  </si>
  <si>
    <t xml:space="preserve">Management Consulting</t>
  </si>
  <si>
    <t xml:space="preserve">Financial / Tax Advisory</t>
  </si>
  <si>
    <t xml:space="preserve">Cryptocurrency / Virtual Asset Services</t>
  </si>
  <si>
    <t xml:space="preserve">Gambling / Gaming / Betting</t>
  </si>
  <si>
    <t xml:space="preserve">Arms / Defence / Military Equipment</t>
  </si>
  <si>
    <t xml:space="preserve">Adult Entertainment</t>
  </si>
  <si>
    <t xml:space="preserve">Shell Company / Nominee Services</t>
  </si>
  <si>
    <t xml:space="preserve">5.1  Introduction / Referral Method</t>
  </si>
  <si>
    <t xml:space="preserve">Direct application — client initiated</t>
  </si>
  <si>
    <t xml:space="preserve">Introduced by regulated intermediary / agent</t>
  </si>
  <si>
    <t xml:space="preserve">Introduced by non-regulated intermediary</t>
  </si>
  <si>
    <t xml:space="preserve">Unsolicited / unknown referral source</t>
  </si>
  <si>
    <t xml:space="preserve">5.2  Customer Interaction Type</t>
  </si>
  <si>
    <t xml:space="preserve">In-person face-to-face meeting conducted</t>
  </si>
  <si>
    <t xml:space="preserve">Video KYC / video call conducted</t>
  </si>
  <si>
    <t xml:space="preserve">Non-face-to-face — low-risk jurisdiction</t>
  </si>
  <si>
    <t xml:space="preserve">Non-face-to-face — high-risk jurisdiction</t>
  </si>
  <si>
    <t xml:space="preserve">1.5  Source of Wealth</t>
  </si>
  <si>
    <t xml:space="preserve">Business revenue / trading profits</t>
  </si>
  <si>
    <t xml:space="preserve">Investment returns / dividends</t>
  </si>
  <si>
    <t xml:space="preserve">Sale of assets / property</t>
  </si>
  <si>
    <t xml:space="preserve">Venture capital / investor funding</t>
  </si>
  <si>
    <t xml:space="preserve">Government funding / grants</t>
  </si>
  <si>
    <t xml:space="preserve">Inheritance / family wealth</t>
  </si>
  <si>
    <t xml:space="preserve">Loan / credit facility proceeds</t>
  </si>
  <si>
    <t xml:space="preserve">Other</t>
  </si>
  <si>
    <t xml:space="preserve">1.6  Initial Source of Funds</t>
  </si>
  <si>
    <t xml:space="preserve">Transfer from company bank account</t>
  </si>
  <si>
    <t xml:space="preserve">Parent company / group entity transfer</t>
  </si>
  <si>
    <t xml:space="preserve">Client payments / receivables</t>
  </si>
  <si>
    <t xml:space="preserve">Revenue from business operations</t>
  </si>
  <si>
    <t xml:space="preserve">Shareholder / director capital injection</t>
  </si>
  <si>
    <t xml:space="preserve">Investment round / fundraise proceeds</t>
  </si>
  <si>
    <t xml:space="preserve">Loan / credit facility drawdown</t>
  </si>
  <si>
    <t xml:space="preserve">GEOGRAPHIC RISK ASSESSMENT — SCORING METHODOLOGY</t>
  </si>
  <si>
    <t xml:space="preserve">2.4  Countries of Operation — How to Assess</t>
  </si>
  <si>
    <t xml:space="preserve">All low-risk jurisdictions (Score 1)</t>
  </si>
  <si>
    <t xml:space="preserve">Every country where the entity operates scores 1 (Low Risk) on the Country Risk Reference table.</t>
  </si>
  <si>
    <t xml:space="preserve">Predominantly low-risk with some medium-risk (Score 2)</t>
  </si>
  <si>
    <t xml:space="preserve">The majority of operating countries score 1 (Low Risk), but one or more countries score 2 (Medium Risk). No country scores 3 or 4.</t>
  </si>
  <si>
    <t xml:space="preserve">Includes high-risk jurisdictions (Score 3)</t>
  </si>
  <si>
    <t xml:space="preserve">At least one country of operation scores 3 (High Risk) on the Country Risk Reference table — typically a FATF Grey List country. OR more than 30% of operating countries score 2.</t>
  </si>
  <si>
    <t xml:space="preserve">Predominantly high-risk or sanctioned (Score 4)</t>
  </si>
  <si>
    <t xml:space="preserve">At least one country of operation scores 4 (Very High Risk) — a FATF Black List country, sanctioned jurisdiction, or suspended member.</t>
  </si>
  <si>
    <t xml:space="preserve">2.5  Target Markets / Payment Corridors — How to Assess</t>
  </si>
  <si>
    <t xml:space="preserve">Developed markets only (Score 1)</t>
  </si>
  <si>
    <t xml:space="preserve">All target payment corridors involve countries classified as developed economies with mature financial regulatory frameworks.</t>
  </si>
  <si>
    <t xml:space="preserve">Mix of developed and emerging markets (Score 2)</t>
  </si>
  <si>
    <t xml:space="preserve">Payment corridors include both developed markets (score 1) and emerging markets scoring 2. No corridors involve Grey List, Black List, or sanctioned jurisdictions.</t>
  </si>
  <si>
    <t xml:space="preserve">Predominantly emerging / frontier markets (Score 3)</t>
  </si>
  <si>
    <t xml:space="preserve">The majority of payment corridors involve emerging or frontier markets, including countries scoring 2 or 3. May include FATF Grey List jurisdictions.</t>
  </si>
  <si>
    <t xml:space="preserve">Includes sanctioned or very high-risk markets (Score 4)</t>
  </si>
  <si>
    <t xml:space="preserve">At least one payment corridor involves a country scoring 4 (Very High Risk) on the Country Risk Reference table.</t>
  </si>
  <si>
    <t xml:space="preserve">GENERAL PRINCIPLE</t>
  </si>
  <si>
    <t xml:space="preserve">The 'highest risk dominates' rule applies: a single high-risk or sanctioned jurisdiction contaminates the overall geographic risk profile. When in doubt, assess conservatively (higher score). Use the Country Risk Reference sheet to look up individual country scores.</t>
  </si>
  <si>
    <t xml:space="preserve">ADVERSE MEDIA / NEGATIVE NEWS — SCORING DEFINITIONS</t>
  </si>
  <si>
    <t xml:space="preserve">No adverse media identified (Score 1 — Low Risk)</t>
  </si>
  <si>
    <t xml:space="preserve">Minor or unsubstantiated reports (Score 2 — Medium Risk)</t>
  </si>
  <si>
    <t xml:space="preserve">Adverse media exists but is minor in nature or cannot be substantiated through official sources.</t>
  </si>
  <si>
    <t xml:space="preserve">Confirmed adverse media / regulatory action (Score 4 — Very High Risk)</t>
  </si>
  <si>
    <t xml:space="preserve">Confirmed adverse media, regulatory action, or law enforcement involvement against the entity, its directors, UBOs, or closely connected parties.</t>
  </si>
  <si>
    <t xml:space="preserve">2.2  UBO Nationalities</t>
  </si>
  <si>
    <t xml:space="preserve">Assessment: Evaluate the nationalities of all UBOs and directors. Use the Country Risk Reference sheet to map each nationality to its corresponding country risk score. Apply the highest-risk-dominates rule.</t>
  </si>
  <si>
    <t xml:space="preserve">All UBOs/directors from low-risk jurisdictions</t>
  </si>
  <si>
    <t xml:space="preserve">Mix of low-risk and standard/emerging nationalities</t>
  </si>
  <si>
    <t xml:space="preserve">Includes FATF Grey List / high-risk nationalities</t>
  </si>
  <si>
    <t xml:space="preserve">Includes sanctioned / blacklisted nationalities</t>
  </si>
  <si>
    <t xml:space="preserve">2.3  Intermediary Shareholder Jurisdictions</t>
  </si>
  <si>
    <t xml:space="preserve">Assessment: Evaluate jurisdictions of all intermediary shareholders, holding companies, and nominee structures in the ownership chain. Secrecy jurisdictions (BVI, Panama, Cayman Islands, Seychelles, Bermuda, Jersey, Guernsey, Isle of Man, Liechtenstein, Vanuatu, Samoa, Marshall Islands) score 4.</t>
  </si>
  <si>
    <t xml:space="preserve">No intermediaries or all low-risk jurisdictions</t>
  </si>
  <si>
    <t xml:space="preserve">Intermediaries in standard / emerging jurisdictions</t>
  </si>
  <si>
    <t xml:space="preserve">Includes FATF Grey List / opaque jurisdictions</t>
  </si>
  <si>
    <t xml:space="preserve">Includes sanctioned / secrecy jurisdictions</t>
  </si>
  <si>
    <t xml:space="preserve">ARIE FINANCE LTD — COUNTRY RISK REFERENCE TABLE</t>
  </si>
  <si>
    <t xml:space="preserve">COUNTRY</t>
  </si>
  <si>
    <t xml:space="preserve">REGION</t>
  </si>
  <si>
    <t xml:space="preserve">FATF MEMBER</t>
  </si>
  <si>
    <t xml:space="preserve">FATF STATUS</t>
  </si>
  <si>
    <t xml:space="preserve">RISK SCORE</t>
  </si>
  <si>
    <t xml:space="preserve">RISK CATEGORY</t>
  </si>
  <si>
    <t xml:space="preserve">NOTES</t>
  </si>
  <si>
    <t xml:space="preserve">Australia</t>
  </si>
  <si>
    <t xml:space="preserve">Asia-Pacific</t>
  </si>
  <si>
    <t xml:space="preserve">Yes</t>
  </si>
  <si>
    <t xml:space="preserve">Clear</t>
  </si>
  <si>
    <t xml:space="preserve">FATF member; strong AML framework</t>
  </si>
  <si>
    <t xml:space="preserve">Canada</t>
  </si>
  <si>
    <t xml:space="preserve">Americas</t>
  </si>
  <si>
    <t xml:space="preserve">France</t>
  </si>
  <si>
    <t xml:space="preserve">Europe</t>
  </si>
  <si>
    <t xml:space="preserve">FATF founding member</t>
  </si>
  <si>
    <t xml:space="preserve">Germany</t>
  </si>
  <si>
    <t xml:space="preserve">Hong Kong SAR</t>
  </si>
  <si>
    <t xml:space="preserve">Strong regulatory framework</t>
  </si>
  <si>
    <t xml:space="preserve">Ireland</t>
  </si>
  <si>
    <t xml:space="preserve">EU member; robust AML laws</t>
  </si>
  <si>
    <t xml:space="preserve">Japan</t>
  </si>
  <si>
    <t xml:space="preserve">FATF member; strong controls</t>
  </si>
  <si>
    <t xml:space="preserve">Luxembourg</t>
  </si>
  <si>
    <t xml:space="preserve">EU financial centre</t>
  </si>
  <si>
    <t xml:space="preserve">Netherlands</t>
  </si>
  <si>
    <t xml:space="preserve">New Zealand</t>
  </si>
  <si>
    <t xml:space="preserve">Strong AML/CFT framework</t>
  </si>
  <si>
    <t xml:space="preserve">Singapore</t>
  </si>
  <si>
    <t xml:space="preserve">MAS-regulated; highly compliant</t>
  </si>
  <si>
    <t xml:space="preserve">Switzerland</t>
  </si>
  <si>
    <t xml:space="preserve">Strong FINMA-regulated framework</t>
  </si>
  <si>
    <t xml:space="preserve">United Kingdom</t>
  </si>
  <si>
    <t xml:space="preserve">FCA regulated; FATF member</t>
  </si>
  <si>
    <t xml:space="preserve">United States</t>
  </si>
  <si>
    <t xml:space="preserve">FATF founding member; FinCEN oversight</t>
  </si>
  <si>
    <t xml:space="preserve">Austria</t>
  </si>
  <si>
    <t xml:space="preserve">EU member; strong AML</t>
  </si>
  <si>
    <t xml:space="preserve">Belgium</t>
  </si>
  <si>
    <t xml:space="preserve">EU member</t>
  </si>
  <si>
    <t xml:space="preserve">Denmark</t>
  </si>
  <si>
    <t xml:space="preserve">Strong compliance culture</t>
  </si>
  <si>
    <t xml:space="preserve">Finland</t>
  </si>
  <si>
    <t xml:space="preserve">Norway</t>
  </si>
  <si>
    <t xml:space="preserve">Sweden</t>
  </si>
  <si>
    <t xml:space="preserve">South Korea</t>
  </si>
  <si>
    <t xml:space="preserve">FATF member; strong framework</t>
  </si>
  <si>
    <t xml:space="preserve">Israel</t>
  </si>
  <si>
    <t xml:space="preserve">Middle East</t>
  </si>
  <si>
    <t xml:space="preserve">FATF member</t>
  </si>
  <si>
    <t xml:space="preserve">Bahrain</t>
  </si>
  <si>
    <t xml:space="preserve">CBB regulated; growing compliance</t>
  </si>
  <si>
    <t xml:space="preserve">Botswana</t>
  </si>
  <si>
    <t xml:space="preserve">Africa</t>
  </si>
  <si>
    <t xml:space="preserve">Stable; FATF-compliant</t>
  </si>
  <si>
    <t xml:space="preserve">Brazil</t>
  </si>
  <si>
    <t xml:space="preserve">FATF member; large emerging market</t>
  </si>
  <si>
    <t xml:space="preserve">Chile</t>
  </si>
  <si>
    <t xml:space="preserve">FATF member; stable economy</t>
  </si>
  <si>
    <t xml:space="preserve">China</t>
  </si>
  <si>
    <t xml:space="preserve">FATF member; enhanced monitoring advised</t>
  </si>
  <si>
    <t xml:space="preserve">India</t>
  </si>
  <si>
    <t xml:space="preserve">FATF member; improving AML regime</t>
  </si>
  <si>
    <t xml:space="preserve">Indonesia</t>
  </si>
  <si>
    <t xml:space="preserve">FATF member; emerging market</t>
  </si>
  <si>
    <t xml:space="preserve">Kuwait</t>
  </si>
  <si>
    <t xml:space="preserve">FATF member; standard due diligence</t>
  </si>
  <si>
    <t xml:space="preserve">Malaysia</t>
  </si>
  <si>
    <t xml:space="preserve">FATF member; robust BNM oversight</t>
  </si>
  <si>
    <t xml:space="preserve">Mauritius</t>
  </si>
  <si>
    <t xml:space="preserve">FSC-regulated; previously EU-listed, now removed</t>
  </si>
  <si>
    <t xml:space="preserve">Mexico</t>
  </si>
  <si>
    <t xml:space="preserve">FATF member; monitor crime exposure</t>
  </si>
  <si>
    <t xml:space="preserve">Morocco</t>
  </si>
  <si>
    <t xml:space="preserve">FATF-style body member</t>
  </si>
  <si>
    <t xml:space="preserve">Oman</t>
  </si>
  <si>
    <t xml:space="preserve">CBO regulated; stable</t>
  </si>
  <si>
    <t xml:space="preserve">Qatar</t>
  </si>
  <si>
    <t xml:space="preserve">QCB regulated</t>
  </si>
  <si>
    <t xml:space="preserve">Rwanda</t>
  </si>
  <si>
    <t xml:space="preserve">Improving AML framework</t>
  </si>
  <si>
    <t xml:space="preserve">Saudi Arabia</t>
  </si>
  <si>
    <t xml:space="preserve">FATF member; SAMA regulated</t>
  </si>
  <si>
    <t xml:space="preserve">Seychelles</t>
  </si>
  <si>
    <t xml:space="preserve">IFC; FSA regulated. CHANGED from Medium to High (C-04) — frequently used in opaque intermediary structures.</t>
  </si>
  <si>
    <t xml:space="preserve">Spain</t>
  </si>
  <si>
    <t xml:space="preserve">EU member; FATF member. CHANGED from Medium to Low (C-14).</t>
  </si>
  <si>
    <t xml:space="preserve">Turkey</t>
  </si>
  <si>
    <t xml:space="preserve">Europe/Asia</t>
  </si>
  <si>
    <t xml:space="preserve">Removed from grey list 2024; monitor progress</t>
  </si>
  <si>
    <t xml:space="preserve">UAE</t>
  </si>
  <si>
    <t xml:space="preserve">Removed from FATF grey list June 2024; enhanced monitoring still advised</t>
  </si>
  <si>
    <t xml:space="preserve">Uganda</t>
  </si>
  <si>
    <t xml:space="preserve">Improving compliance framework</t>
  </si>
  <si>
    <t xml:space="preserve">Ghana</t>
  </si>
  <si>
    <t xml:space="preserve">FATF-style body; improving AML</t>
  </si>
  <si>
    <t xml:space="preserve">Ivory Coast</t>
  </si>
  <si>
    <t xml:space="preserve">GIABA member; monitor closely</t>
  </si>
  <si>
    <t xml:space="preserve">Jordan</t>
  </si>
  <si>
    <t xml:space="preserve">Sri Lanka</t>
  </si>
  <si>
    <t xml:space="preserve">FATF member; post-crisis recovery</t>
  </si>
  <si>
    <t xml:space="preserve">Tunisia</t>
  </si>
  <si>
    <t xml:space="preserve">MENA-FATF member</t>
  </si>
  <si>
    <t xml:space="preserve">Algeria</t>
  </si>
  <si>
    <t xml:space="preserve">Grey List</t>
  </si>
  <si>
    <t xml:space="preserve">FATF grey list — enhanced due diligence required</t>
  </si>
  <si>
    <t xml:space="preserve">Burkina Faso</t>
  </si>
  <si>
    <t xml:space="preserve">FATF grey list — political instability</t>
  </si>
  <si>
    <t xml:space="preserve">Cameroon</t>
  </si>
  <si>
    <t xml:space="preserve">FATF grey list</t>
  </si>
  <si>
    <t xml:space="preserve">Democratic Rep. Congo</t>
  </si>
  <si>
    <t xml:space="preserve">FATF grey list — high corruption</t>
  </si>
  <si>
    <t xml:space="preserve">Haiti</t>
  </si>
  <si>
    <t xml:space="preserve">FATF grey list — political/economic crisis</t>
  </si>
  <si>
    <t xml:space="preserve">Kenya</t>
  </si>
  <si>
    <t xml:space="preserve">FATF grey list — AML deficiencies</t>
  </si>
  <si>
    <t xml:space="preserve">Laos</t>
  </si>
  <si>
    <t xml:space="preserve">Lebanon</t>
  </si>
  <si>
    <t xml:space="preserve">FATF grey list — financial crisis</t>
  </si>
  <si>
    <t xml:space="preserve">Mali</t>
  </si>
  <si>
    <t xml:space="preserve">FATF grey list — security issues</t>
  </si>
  <si>
    <t xml:space="preserve">Monaco</t>
  </si>
  <si>
    <t xml:space="preserve">Mozambique</t>
  </si>
  <si>
    <t xml:space="preserve">Nigeria</t>
  </si>
  <si>
    <t xml:space="preserve">FATF grey list — monitor closely</t>
  </si>
  <si>
    <t xml:space="preserve">Philippines</t>
  </si>
  <si>
    <t xml:space="preserve">Senegal</t>
  </si>
  <si>
    <t xml:space="preserve">South Africa</t>
  </si>
  <si>
    <t xml:space="preserve">South Sudan</t>
  </si>
  <si>
    <t xml:space="preserve">No</t>
  </si>
  <si>
    <t xml:space="preserve">FATF grey list — conflict zone</t>
  </si>
  <si>
    <t xml:space="preserve">Tanzania</t>
  </si>
  <si>
    <t xml:space="preserve">Venezuela</t>
  </si>
  <si>
    <t xml:space="preserve">FATF grey list — severe economic crisis</t>
  </si>
  <si>
    <t xml:space="preserve">Vietnam</t>
  </si>
  <si>
    <t xml:space="preserve">Yemen</t>
  </si>
  <si>
    <t xml:space="preserve">FATF grey list — conflict</t>
  </si>
  <si>
    <t xml:space="preserve">Iran</t>
  </si>
  <si>
    <t xml:space="preserve">Black List</t>
  </si>
  <si>
    <t xml:space="preserve">FATF Black List — comprehensive sanctions</t>
  </si>
  <si>
    <t xml:space="preserve">North Korea</t>
  </si>
  <si>
    <t xml:space="preserve">FATF Black List — UN sanctions</t>
  </si>
  <si>
    <t xml:space="preserve">Myanmar</t>
  </si>
  <si>
    <t xml:space="preserve">FATF Black List — military coup / sanctions</t>
  </si>
  <si>
    <t xml:space="preserve">Russia</t>
  </si>
  <si>
    <t xml:space="preserve">Suspended</t>
  </si>
  <si>
    <t xml:space="preserve">FATF membership suspended; comprehensive sanctions</t>
  </si>
  <si>
    <t xml:space="preserve">Syria</t>
  </si>
  <si>
    <t xml:space="preserve">Comprehensive sanctions</t>
  </si>
  <si>
    <t xml:space="preserve">Belarus</t>
  </si>
  <si>
    <t xml:space="preserve">EU/US sanctions; Russia-aligned</t>
  </si>
  <si>
    <t xml:space="preserve">Cuba</t>
  </si>
  <si>
    <t xml:space="preserve">US comprehensive sanctions</t>
  </si>
  <si>
    <t xml:space="preserve">Afghanistan</t>
  </si>
  <si>
    <t xml:space="preserve">Asia</t>
  </si>
  <si>
    <t xml:space="preserve">Taliban-controlled; sanctions apply</t>
  </si>
  <si>
    <t xml:space="preserve">Somalia</t>
  </si>
  <si>
    <t xml:space="preserve">Failed state; UN sanctions</t>
  </si>
  <si>
    <t xml:space="preserve">Libya</t>
  </si>
  <si>
    <t xml:space="preserve">Conflict zone; UN sanctions</t>
  </si>
  <si>
    <t xml:space="preserve">Eritrea</t>
  </si>
  <si>
    <t xml:space="preserve">UN sanctions</t>
  </si>
  <si>
    <t xml:space="preserve">Sudan</t>
  </si>
  <si>
    <t xml:space="preserve">Conflict; sanctions apply</t>
  </si>
  <si>
    <t xml:space="preserve">British Virgin Islands (BVI)</t>
  </si>
  <si>
    <t xml:space="preserve">Caribbean</t>
  </si>
  <si>
    <t xml:space="preserve">N/A</t>
  </si>
  <si>
    <t xml:space="preserve">Secrecy jurisdiction; frequently used in opaque ownership structures. ADDED C-01.</t>
  </si>
  <si>
    <t xml:space="preserve">Cayman Islands</t>
  </si>
  <si>
    <t xml:space="preserve">Major offshore centre; secrecy jurisdiction. ADDED C-02.</t>
  </si>
  <si>
    <t xml:space="preserve">Panama</t>
  </si>
  <si>
    <t xml:space="preserve">Secrecy jurisdiction; Panama Papers exposure. ADDED C-03.</t>
  </si>
  <si>
    <t xml:space="preserve">Bermuda</t>
  </si>
  <si>
    <t xml:space="preserve">Regulated offshore centre; insurance/reinsurance hub. ADDED C-06.</t>
  </si>
  <si>
    <t xml:space="preserve">Jersey</t>
  </si>
  <si>
    <t xml:space="preserve">Crown Dependency; JFSC regulated; cooperative jurisdiction. ADDED C-07.</t>
  </si>
  <si>
    <t xml:space="preserve">Guernsey</t>
  </si>
  <si>
    <t xml:space="preserve">Crown Dependency; GFSC regulated. ADDED C-08.</t>
  </si>
  <si>
    <t xml:space="preserve">Isle of Man</t>
  </si>
  <si>
    <t xml:space="preserve">Crown Dependency; FSA regulated. ADDED C-09.</t>
  </si>
  <si>
    <t xml:space="preserve">Liechtenstein</t>
  </si>
  <si>
    <t xml:space="preserve">EEA member; FMA regulated; FATF member. ADDED C-10.</t>
  </si>
  <si>
    <t xml:space="preserve">Vanuatu</t>
  </si>
  <si>
    <t xml:space="preserve">Offshore centre; limited AML framework. ADDED C-11.</t>
  </si>
  <si>
    <t xml:space="preserve">Samoa</t>
  </si>
  <si>
    <t xml:space="preserve">Offshore centre; limited regulation. ADDED C-12.</t>
  </si>
  <si>
    <t xml:space="preserve">Marshall Islands</t>
  </si>
  <si>
    <t xml:space="preserve">Ship registry; offshore company formations. ADDED C-13.</t>
  </si>
  <si>
    <t xml:space="preserve">Portugal</t>
  </si>
  <si>
    <t xml:space="preserve">EU member; FATF member. ADDED C-15.</t>
  </si>
  <si>
    <t xml:space="preserve">Italy</t>
  </si>
  <si>
    <t xml:space="preserve">EU founding member; FATF founding member. ADDED C-16.</t>
  </si>
  <si>
    <t xml:space="preserve">Estonia</t>
  </si>
  <si>
    <t xml:space="preserve">EU member; fintech hub; e-residency programme. ADDED C-17.</t>
  </si>
  <si>
    <t xml:space="preserve">Pakistan</t>
  </si>
  <si>
    <t xml:space="preserve">FATF-style body member; removed from grey list 2022. ADDED C-18.</t>
  </si>
  <si>
    <t xml:space="preserve">Iraq</t>
  </si>
  <si>
    <t xml:space="preserve">Conflict zone; sanctions exposure; weak AML. ADDED C-19.</t>
  </si>
  <si>
    <t xml:space="preserve">ARIE FINANCE LTD — RISK SCORING MODEL: METHODOLOGY</t>
  </si>
  <si>
    <t xml:space="preserve">Version 1.6 — 26 March 2026
Change: Country Risk Reference expanded with 16 additional jurisdictions (BVI, Cayman Islands, Panama, Bermuda, Jersey, Guernsey, Isle of Man, Liechtenstein, Vanuatu, Samoa, Marshall Islands, Portugal, Italy, Estonia, Pakistan, Iraq). Seychelles reclassified from Medium to High Risk. Spain reclassified from Medium to Low Risk. Risk thresholds recalibrated to match normalised formula output range (0–100): Low 0–29, Medium 30–49, High 50–69, Very High 70–100. Previous thresholds (Low 0–39, Medium 40–54, High 55–69, Very High 70–100) were based on the Excel /4×100 formula; updated to align with code formula (x−1)/3×100.
Version 1.5 — 17 March 2026
Change: Geographic Risk (Dimension 2) expanded from 3 to 5 sub-criteria. Added UBO Nationalities (20%) and Intermediary Shareholder Jurisdictions (20%) as new sub-factors. Rebalanced geographic sub-factor weights: Country of Incorporation 25%, UBO Nationalities 20%, Intermediary Shareholder Jurisdictions 20%, Countries of Operation 20%, Target Markets 15%. Updated VLOOKUP ranges and data validations. Entity types expanded in v1.4 (Trust, Foundation, Regulated Fund, Unregulated Fund/SPV split). Added Management Consulting and Financial/Tax Advisory sectors.</t>
  </si>
  <si>
    <t xml:space="preserve">  PURPOSE</t>
  </si>
  <si>
    <t xml:space="preserve">This model provides a standardised, repeatable risk assessment framework for all corporate clients applying for Payment Intermediary Services (PIS) through ARIE Finance Ltd. It is designed to comply with the FATF Risk-Based Approach for banking and payment institutions.</t>
  </si>
  <si>
    <t xml:space="preserve">  REGULATORY BASIS</t>
  </si>
  <si>
    <t xml:space="preserve">FATF Recommendations (2012, updated 2023) | FATF Risk-Based Approach Guidance: Banking Sector | FSC Mauritius AML/CFT Guidelines | Bank of Mauritius AML/CFT Guideline (2022)</t>
  </si>
  <si>
    <t xml:space="preserve">  SCORING SCALE</t>
  </si>
  <si>
    <t xml:space="preserve">Each sub-factor is scored on a 1–4 scale:
  1 = Low Risk
  2 = Medium Risk
  3 = High Risk
  4 = Very High Risk</t>
  </si>
  <si>
    <t xml:space="preserve">  DIMENSION WEIGHTS</t>
  </si>
  <si>
    <t xml:space="preserve">Dimension 1: Customer / Entity Risk — 30%
Dimension 2: Geographic Risk — 25%
  • 2.1 Country of Incorporation (25%)
  • 2.2 UBO Nationalities (20%)
  • 2.3 Intermediary Shareholder Jurisdictions (20%)
  • 2.4 Countries of Operation (20%)
  • 2.5 Target Markets / Payment Corridors (15%)
Dimension 3: Product / Service Risk — 20%
Dimension 4: Industry / Sector Risk — 15%
Dimension 5: Delivery Channel Risk — 10%
Sub-factors 1.5 (Source of Wealth) and 1.6 (Initial Source of Funds) are included under Dimension 1 as customer-level risk indicators.</t>
  </si>
  <si>
    <t xml:space="preserve">  COMPOSITE SCORE</t>
  </si>
  <si>
    <t xml:space="preserve">The weighted composite score is calculated as:
  Score = (Sum of all dimension weighted scores ÷ 4) × 100
This produces a normalised score from 0 to 100.</t>
  </si>
  <si>
    <t xml:space="preserve">  RISK THRESHOLDS</t>
  </si>
  <si>
    <t xml:space="preserve">Low Risk: Score 0–29 → Simplified Due Diligence (SDD)
Medium Risk: Score 30–49 → Customer Due Diligence (CDD)
High Risk: Score 50–69 → Enhanced Due Diligence (EDD)
Very High Risk: Score 70–100 → Enhanced Due Diligence (EDD) + Senior Management Approval</t>
  </si>
  <si>
    <t xml:space="preserve">  COMPLIANCE ESCALATION</t>
  </si>
  <si>
    <t xml:space="preserve">Compliance approval is MANDATORY before proceeding when:
  (a) Any individual sub-factor scores 4 (Very High Risk), OR
  (b) The business sector is classified as Very High Risk, OR
  (c) The overall composite score is 85 or above.
All escalated cases must be reviewed and approved by the Chief Compliance Officer.</t>
  </si>
  <si>
    <t xml:space="preserve">  DUE DILIGENCE LEVELS</t>
  </si>
  <si>
    <t xml:space="preserve">SDD (Low Risk): Standard identity verification, basic UBO check, standard document collection
CDD (Medium Risk): Full KYC, UBO verification, source of funds, business verification
EDD (High Risk): All CDD plus senior management approval, enhanced source of funds/wealth, ongoing enhanced monitoring, annual review</t>
  </si>
  <si>
    <t xml:space="preserve">  VERY HIGH RISK SECTORS</t>
  </si>
  <si>
    <t xml:space="preserve">The following sectors are automatically flagged for compliance approval regardless of overall score:
  • Cryptocurrency / Virtual Asset Services
  • Gambling / Gaming / Betting
  • Arms / Defence / Military Equipment
  • Adult Entertainment
  • Shell Company / Nominee Services</t>
  </si>
  <si>
    <t xml:space="preserve">  REVIEW SCHEDULE</t>
  </si>
  <si>
    <t xml:space="preserve">This model must be reviewed:
  • Annually as part of the AML/CFT annual review
  • Following each FATF Plenary (February, June, October)
  • Following any material change to ARIE Finance's business model or client base
  • Following any regulatory guidance update from FSC Mauritius or Bank of Mauritius</t>
  </si>
  <si>
    <t xml:space="preserve">  VERSION CONTROL</t>
  </si>
  <si>
    <t xml:space="preserve">Version 1.5 — 17 March 2026
Change: Geographic Risk (Dimension 2) expanded from 3 to 5 sub-criteria. Added UBO Nationalities (20%) and Intermediary Shareholder Jurisdictions (20%) as new sub-factors. Rebalanced geographic sub-factor weights: Country of Incorporation 25%, UBO Nationalities 20%, Intermediary Shareholder Jurisdictions 20%, Countries of Operation 20%, Target Markets 15%. Updated VLOOKUP ranges and data validations. Entity types expanded in v1.4 (Trust, Foundation, Regulated Fund, Unregulated Fund/SPV split). Added Management Consulting and Financial/Tax Advisory sectors.</t>
  </si>
</sst>
</file>

<file path=xl/styles.xml><?xml version="1.0" encoding="utf-8"?>
<styleSheet xmlns="http://schemas.openxmlformats.org/spreadsheetml/2006/main">
  <numFmts count="1">
    <numFmt numFmtId="164" formatCode="General"/>
  </numFmts>
  <fonts count="37">
    <font>
      <sz val="11"/>
      <color theme="1"/>
      <name val="Calibri"/>
      <family val="2"/>
      <charset val="1"/>
    </font>
    <font>
      <sz val="10"/>
      <name val="Arial"/>
      <family val="0"/>
    </font>
    <font>
      <sz val="10"/>
      <name val="Arial"/>
      <family val="0"/>
    </font>
    <font>
      <sz val="10"/>
      <name val="Arial"/>
      <family val="0"/>
    </font>
    <font>
      <b val="true"/>
      <sz val="14"/>
      <color rgb="FF1B3A5C"/>
      <name val="Arial"/>
      <family val="0"/>
      <charset val="1"/>
    </font>
    <font>
      <i val="true"/>
      <sz val="10"/>
      <color rgb="FF666666"/>
      <name val="Arial"/>
      <family val="0"/>
      <charset val="1"/>
    </font>
    <font>
      <b val="true"/>
      <sz val="10"/>
      <color rgb="FFFFFFFF"/>
      <name val="Arial"/>
      <family val="0"/>
      <charset val="1"/>
    </font>
    <font>
      <b val="true"/>
      <sz val="9"/>
      <color rgb="FFCC0000"/>
      <name val="Arial"/>
      <family val="0"/>
      <charset val="1"/>
    </font>
    <font>
      <sz val="9"/>
      <color rgb="FF333333"/>
      <name val="Arial"/>
      <family val="0"/>
      <charset val="1"/>
    </font>
    <font>
      <b val="true"/>
      <sz val="9"/>
      <color rgb="FFCC6600"/>
      <name val="Arial"/>
      <family val="0"/>
      <charset val="1"/>
    </font>
    <font>
      <b val="true"/>
      <sz val="9"/>
      <color rgb="FF997700"/>
      <name val="Arial"/>
      <family val="0"/>
      <charset val="1"/>
    </font>
    <font>
      <b val="true"/>
      <sz val="9"/>
      <color rgb="FF336699"/>
      <name val="Arial"/>
      <family val="0"/>
      <charset val="1"/>
    </font>
    <font>
      <b val="true"/>
      <sz val="9"/>
      <color rgb="FF666666"/>
      <name val="Arial"/>
      <family val="0"/>
      <charset val="1"/>
    </font>
    <font>
      <b val="true"/>
      <sz val="15"/>
      <color rgb="FFFFFFFF"/>
      <name val="Arial"/>
      <family val="2"/>
      <charset val="1"/>
    </font>
    <font>
      <sz val="10"/>
      <color rgb="FFFFFFFF"/>
      <name val="Arial"/>
      <family val="2"/>
      <charset val="1"/>
    </font>
    <font>
      <b val="true"/>
      <sz val="10"/>
      <color rgb="FF1A1D2E"/>
      <name val="Arial"/>
      <family val="2"/>
      <charset val="1"/>
    </font>
    <font>
      <sz val="10"/>
      <color rgb="FF0000FF"/>
      <name val="Arial"/>
      <family val="2"/>
      <charset val="1"/>
    </font>
    <font>
      <b val="true"/>
      <sz val="9"/>
      <color rgb="FFFFFFFF"/>
      <name val="Arial"/>
      <family val="2"/>
      <charset val="1"/>
    </font>
    <font>
      <b val="true"/>
      <sz val="10"/>
      <color rgb="FFFFFFFF"/>
      <name val="Arial"/>
      <family val="2"/>
      <charset val="1"/>
    </font>
    <font>
      <sz val="10"/>
      <color rgb="FF1A1D2E"/>
      <name val="Arial"/>
      <family val="2"/>
      <charset val="1"/>
    </font>
    <font>
      <sz val="9"/>
      <color rgb="FFFFFFFF"/>
      <name val="Arial"/>
      <family val="2"/>
      <charset val="1"/>
    </font>
    <font>
      <b val="true"/>
      <sz val="11"/>
      <color rgb="FFFFFFFF"/>
      <name val="Arial"/>
      <family val="2"/>
      <charset val="1"/>
    </font>
    <font>
      <sz val="9"/>
      <color rgb="FF1A1D2E"/>
      <name val="Arial"/>
      <family val="2"/>
      <charset val="1"/>
    </font>
    <font>
      <b val="true"/>
      <sz val="14"/>
      <color rgb="FF1A1D2E"/>
      <name val="Arial"/>
      <family val="2"/>
      <charset val="1"/>
    </font>
    <font>
      <b val="true"/>
      <sz val="12"/>
      <color rgb="FF1A1D2E"/>
      <name val="Arial"/>
      <family val="2"/>
      <charset val="1"/>
    </font>
    <font>
      <sz val="8"/>
      <color rgb="FF888888"/>
      <name val="Arial"/>
      <family val="2"/>
      <charset val="1"/>
    </font>
    <font>
      <b val="true"/>
      <sz val="12"/>
      <color rgb="FFFFFFFF"/>
      <name val="Arial"/>
      <family val="2"/>
      <charset val="1"/>
    </font>
    <font>
      <b val="true"/>
      <sz val="9"/>
      <color rgb="FF1E8449"/>
      <name val="Arial"/>
      <family val="2"/>
      <charset val="1"/>
    </font>
    <font>
      <sz val="9"/>
      <color rgb="FF1E8449"/>
      <name val="Arial"/>
      <family val="2"/>
      <charset val="1"/>
    </font>
    <font>
      <b val="true"/>
      <sz val="9"/>
      <color rgb="FF9A7D0A"/>
      <name val="Arial"/>
      <family val="2"/>
      <charset val="1"/>
    </font>
    <font>
      <sz val="9"/>
      <color rgb="FF9A7D0A"/>
      <name val="Arial"/>
      <family val="2"/>
      <charset val="1"/>
    </font>
    <font>
      <b val="true"/>
      <sz val="9"/>
      <color rgb="FFC0392B"/>
      <name val="Arial"/>
      <family val="2"/>
      <charset val="1"/>
    </font>
    <font>
      <sz val="9"/>
      <color rgb="FFC0392B"/>
      <name val="Arial"/>
      <family val="2"/>
      <charset val="1"/>
    </font>
    <font>
      <b val="true"/>
      <sz val="9"/>
      <color rgb="FF922B21"/>
      <name val="Arial"/>
      <family val="2"/>
      <charset val="1"/>
    </font>
    <font>
      <sz val="9"/>
      <color rgb="FF922B21"/>
      <name val="Arial"/>
      <family val="2"/>
      <charset val="1"/>
    </font>
    <font>
      <b val="true"/>
      <sz val="9"/>
      <color rgb="FF1A1D2E"/>
      <name val="Arial"/>
      <family val="2"/>
      <charset val="1"/>
    </font>
    <font>
      <sz val="10"/>
      <name val="Arial"/>
      <family val="0"/>
      <charset val="1"/>
    </font>
  </fonts>
  <fills count="15">
    <fill>
      <patternFill patternType="none"/>
    </fill>
    <fill>
      <patternFill patternType="gray125"/>
    </fill>
    <fill>
      <patternFill patternType="solid">
        <fgColor rgb="FF1B3A5C"/>
        <bgColor rgb="FF333333"/>
      </patternFill>
    </fill>
    <fill>
      <patternFill patternType="solid">
        <fgColor rgb="FF2B2F8F"/>
        <bgColor rgb="FF1B3A5C"/>
      </patternFill>
    </fill>
    <fill>
      <patternFill patternType="solid">
        <fgColor rgb="FF1A75CB"/>
        <bgColor rgb="FF336699"/>
      </patternFill>
    </fill>
    <fill>
      <patternFill patternType="solid">
        <fgColor rgb="FFF4F6FA"/>
        <bgColor rgb="FFEEF2FA"/>
      </patternFill>
    </fill>
    <fill>
      <patternFill patternType="solid">
        <fgColor rgb="FFFFFFFF"/>
        <bgColor rgb="FFF4F6FA"/>
      </patternFill>
    </fill>
    <fill>
      <patternFill patternType="solid">
        <fgColor rgb="FFEEF2FA"/>
        <bgColor rgb="FFF4F6FA"/>
      </patternFill>
    </fill>
    <fill>
      <patternFill patternType="solid">
        <fgColor rgb="FFB8955A"/>
        <bgColor rgb="FF888888"/>
      </patternFill>
    </fill>
    <fill>
      <patternFill patternType="solid">
        <fgColor rgb="FFFFFFCC"/>
        <bgColor rgb="FFFDEBD0"/>
      </patternFill>
    </fill>
    <fill>
      <patternFill patternType="solid">
        <fgColor rgb="FFD5F5E3"/>
        <bgColor rgb="FFE8F5E8"/>
      </patternFill>
    </fill>
    <fill>
      <patternFill patternType="solid">
        <fgColor rgb="FFFDEBD0"/>
        <bgColor rgb="FFFADBD8"/>
      </patternFill>
    </fill>
    <fill>
      <patternFill patternType="solid">
        <fgColor rgb="FFFADBD8"/>
        <bgColor rgb="FFFDEBD0"/>
      </patternFill>
    </fill>
    <fill>
      <patternFill patternType="solid">
        <fgColor rgb="FFF5B7B1"/>
        <bgColor rgb="FFFF99CC"/>
      </patternFill>
    </fill>
    <fill>
      <patternFill patternType="solid">
        <fgColor rgb="FFE8F5E8"/>
        <bgColor rgb="FFEEF2FA"/>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3" fillId="3" borderId="0" xfId="0" applyFont="true" applyBorder="true" applyAlignment="true" applyProtection="false">
      <alignment horizontal="center" vertical="center" textRotation="0" wrapText="false" indent="0" shrinkToFit="false"/>
      <protection locked="true" hidden="false"/>
    </xf>
    <xf numFmtId="164" fontId="14" fillId="4" borderId="0" xfId="0" applyFont="true" applyBorder="true" applyAlignment="true" applyProtection="false">
      <alignment horizontal="center" vertical="center" textRotation="0" wrapText="false" indent="0" shrinkToFit="false"/>
      <protection locked="true" hidden="false"/>
    </xf>
    <xf numFmtId="164" fontId="15" fillId="5" borderId="0" xfId="0" applyFont="true" applyBorder="false" applyAlignment="true" applyProtection="false">
      <alignment horizontal="left" vertical="center" textRotation="0" wrapText="false" indent="0" shrinkToFit="false"/>
      <protection locked="true" hidden="false"/>
    </xf>
    <xf numFmtId="164" fontId="0" fillId="6" borderId="0" xfId="0" applyFont="false" applyBorder="true" applyAlignment="true" applyProtection="false">
      <alignment horizontal="general" vertical="bottom" textRotation="0" wrapText="false" indent="0" shrinkToFit="false"/>
      <protection locked="true" hidden="false"/>
    </xf>
    <xf numFmtId="164" fontId="16" fillId="6" borderId="0" xfId="0" applyFont="true" applyBorder="true" applyAlignment="true" applyProtection="false">
      <alignment horizontal="left" vertical="center" textRotation="0" wrapText="false" indent="0" shrinkToFit="false"/>
      <protection locked="true" hidden="false"/>
    </xf>
    <xf numFmtId="164" fontId="17" fillId="3" borderId="0" xfId="0" applyFont="true" applyBorder="false" applyAlignment="true" applyProtection="false">
      <alignment horizontal="center" vertical="center" textRotation="0" wrapText="false" indent="0" shrinkToFit="false"/>
      <protection locked="true" hidden="false"/>
    </xf>
    <xf numFmtId="164" fontId="18" fillId="4" borderId="0" xfId="0" applyFont="true" applyBorder="true" applyAlignment="true" applyProtection="false">
      <alignment horizontal="left" vertical="center" textRotation="0" wrapText="false" indent="0" shrinkToFit="false"/>
      <protection locked="true" hidden="false"/>
    </xf>
    <xf numFmtId="164" fontId="19" fillId="6" borderId="0" xfId="0" applyFont="true" applyBorder="false" applyAlignment="true" applyProtection="false">
      <alignment horizontal="left" vertical="center" textRotation="0" wrapText="false" indent="0" shrinkToFit="false"/>
      <protection locked="true" hidden="false"/>
    </xf>
    <xf numFmtId="164" fontId="16" fillId="6" borderId="0" xfId="0" applyFont="true" applyBorder="false" applyAlignment="true" applyProtection="false">
      <alignment horizontal="left" vertical="center" textRotation="0" wrapText="false" indent="0" shrinkToFit="false"/>
      <protection locked="true" hidden="false"/>
    </xf>
    <xf numFmtId="164" fontId="15" fillId="6" borderId="0" xfId="0" applyFont="true" applyBorder="false" applyAlignment="true" applyProtection="false">
      <alignment horizontal="center" vertical="center" textRotation="0" wrapText="false" indent="0" shrinkToFit="false"/>
      <protection locked="true" hidden="false"/>
    </xf>
    <xf numFmtId="164" fontId="19" fillId="6" borderId="0" xfId="0" applyFont="true" applyBorder="false" applyAlignment="true" applyProtection="false">
      <alignment horizontal="center" vertical="center" textRotation="0" wrapText="false" indent="0" shrinkToFit="false"/>
      <protection locked="true" hidden="false"/>
    </xf>
    <xf numFmtId="164" fontId="19" fillId="7" borderId="0" xfId="0" applyFont="true" applyBorder="false" applyAlignment="true" applyProtection="false">
      <alignment horizontal="left" vertical="center" textRotation="0" wrapText="false" indent="0" shrinkToFit="false"/>
      <protection locked="true" hidden="false"/>
    </xf>
    <xf numFmtId="164" fontId="15" fillId="7" borderId="0" xfId="0" applyFont="true" applyBorder="false" applyAlignment="true" applyProtection="false">
      <alignment horizontal="center" vertical="center" textRotation="0" wrapText="false" indent="0" shrinkToFit="false"/>
      <protection locked="true" hidden="false"/>
    </xf>
    <xf numFmtId="164" fontId="19" fillId="7" borderId="0" xfId="0" applyFont="true" applyBorder="false" applyAlignment="true" applyProtection="false">
      <alignment horizontal="center" vertical="center" textRotation="0" wrapText="false" indent="0" shrinkToFit="false"/>
      <protection locked="true" hidden="false"/>
    </xf>
    <xf numFmtId="164" fontId="18" fillId="8" borderId="0" xfId="0" applyFont="true" applyBorder="false" applyAlignment="true" applyProtection="false">
      <alignment horizontal="left" vertical="center" textRotation="0" wrapText="false" indent="0" shrinkToFit="false"/>
      <protection locked="true" hidden="false"/>
    </xf>
    <xf numFmtId="164" fontId="20" fillId="8" borderId="0" xfId="0" applyFont="true" applyBorder="true" applyAlignment="true" applyProtection="false">
      <alignment horizontal="center" vertical="center" textRotation="0" wrapText="false" indent="0" shrinkToFit="false"/>
      <protection locked="true" hidden="false"/>
    </xf>
    <xf numFmtId="164" fontId="18" fillId="8" borderId="0" xfId="0" applyFont="true" applyBorder="false" applyAlignment="true" applyProtection="false">
      <alignment horizontal="center" vertical="center" textRotation="0" wrapText="false" indent="0" shrinkToFit="false"/>
      <protection locked="true" hidden="false"/>
    </xf>
    <xf numFmtId="164" fontId="21" fillId="3" borderId="0" xfId="0" applyFont="true" applyBorder="true" applyAlignment="true" applyProtection="false">
      <alignment horizontal="left" vertical="center" textRotation="0" wrapText="false" indent="0" shrinkToFit="false"/>
      <protection locked="true" hidden="false"/>
    </xf>
    <xf numFmtId="164" fontId="22" fillId="5" borderId="0" xfId="0" applyFont="true" applyBorder="true" applyAlignment="true" applyProtection="false">
      <alignment horizontal="center" vertical="center" textRotation="0" wrapText="false" indent="0" shrinkToFit="false"/>
      <protection locked="true" hidden="false"/>
    </xf>
    <xf numFmtId="164" fontId="23" fillId="5" borderId="0" xfId="0" applyFont="true" applyBorder="false" applyAlignment="true" applyProtection="false">
      <alignment horizontal="center" vertical="center" textRotation="0" wrapText="false" indent="0" shrinkToFit="false"/>
      <protection locked="true" hidden="false"/>
    </xf>
    <xf numFmtId="164" fontId="22" fillId="9" borderId="0" xfId="0" applyFont="true" applyBorder="true" applyAlignment="true" applyProtection="false">
      <alignment horizontal="center" vertical="center" textRotation="0" wrapText="false" indent="0" shrinkToFit="false"/>
      <protection locked="true" hidden="false"/>
    </xf>
    <xf numFmtId="164" fontId="24" fillId="5" borderId="0" xfId="0" applyFont="true" applyBorder="false" applyAlignment="true" applyProtection="false">
      <alignment horizontal="center" vertical="center" textRotation="0" wrapText="false" indent="0" shrinkToFit="false"/>
      <protection locked="true" hidden="false"/>
    </xf>
    <xf numFmtId="164" fontId="15" fillId="5" borderId="0" xfId="0" applyFont="true" applyBorder="true" applyAlignment="true" applyProtection="false">
      <alignment horizontal="left" vertical="center" textRotation="0" wrapText="false" indent="0" shrinkToFit="false"/>
      <protection locked="true" hidden="false"/>
    </xf>
    <xf numFmtId="164" fontId="25" fillId="6" borderId="0" xfId="0" applyFont="true" applyBorder="true" applyAlignment="true" applyProtection="false">
      <alignment horizontal="left" vertical="center" textRotation="0" wrapText="false" indent="0" shrinkToFit="false"/>
      <protection locked="true" hidden="false"/>
    </xf>
    <xf numFmtId="164" fontId="26" fillId="3" borderId="0" xfId="0" applyFont="true" applyBorder="true" applyAlignment="true" applyProtection="false">
      <alignment horizontal="center" vertical="center" textRotation="0" wrapText="false" indent="0" shrinkToFit="false"/>
      <protection locked="true" hidden="false"/>
    </xf>
    <xf numFmtId="164" fontId="22" fillId="6" borderId="0" xfId="0" applyFont="true" applyBorder="false" applyAlignment="true" applyProtection="false">
      <alignment horizontal="left" vertical="center" textRotation="0" wrapText="false" indent="0" shrinkToFit="false"/>
      <protection locked="true" hidden="false"/>
    </xf>
    <xf numFmtId="164" fontId="27" fillId="10" borderId="0" xfId="0" applyFont="true" applyBorder="false" applyAlignment="true" applyProtection="false">
      <alignment horizontal="center" vertical="center" textRotation="0" wrapText="false" indent="0" shrinkToFit="false"/>
      <protection locked="true" hidden="false"/>
    </xf>
    <xf numFmtId="164" fontId="28" fillId="10" borderId="0" xfId="0" applyFont="true" applyBorder="false" applyAlignment="true" applyProtection="false">
      <alignment horizontal="center" vertical="center" textRotation="0" wrapText="false" indent="0" shrinkToFit="false"/>
      <protection locked="true" hidden="false"/>
    </xf>
    <xf numFmtId="164" fontId="22" fillId="7" borderId="0" xfId="0" applyFont="true" applyBorder="false" applyAlignment="true" applyProtection="false">
      <alignment horizontal="left" vertical="center" textRotation="0" wrapText="false" indent="0" shrinkToFit="false"/>
      <protection locked="true" hidden="false"/>
    </xf>
    <xf numFmtId="164" fontId="29" fillId="11" borderId="0" xfId="0" applyFont="true" applyBorder="false" applyAlignment="true" applyProtection="false">
      <alignment horizontal="center" vertical="center" textRotation="0" wrapText="false" indent="0" shrinkToFit="false"/>
      <protection locked="true" hidden="false"/>
    </xf>
    <xf numFmtId="164" fontId="30" fillId="11" borderId="0" xfId="0" applyFont="true" applyBorder="false" applyAlignment="true" applyProtection="false">
      <alignment horizontal="center" vertical="center" textRotation="0" wrapText="false" indent="0" shrinkToFit="false"/>
      <protection locked="true" hidden="false"/>
    </xf>
    <xf numFmtId="164" fontId="31" fillId="12" borderId="0" xfId="0" applyFont="true" applyBorder="false" applyAlignment="true" applyProtection="false">
      <alignment horizontal="center" vertical="center" textRotation="0" wrapText="false" indent="0" shrinkToFit="false"/>
      <protection locked="true" hidden="false"/>
    </xf>
    <xf numFmtId="164" fontId="32" fillId="12" borderId="0" xfId="0" applyFont="true" applyBorder="false" applyAlignment="true" applyProtection="false">
      <alignment horizontal="center" vertical="center" textRotation="0" wrapText="false" indent="0" shrinkToFit="false"/>
      <protection locked="true" hidden="false"/>
    </xf>
    <xf numFmtId="164" fontId="33" fillId="13" borderId="0" xfId="0" applyFont="true" applyBorder="false" applyAlignment="true" applyProtection="false">
      <alignment horizontal="center" vertical="center" textRotation="0" wrapText="false" indent="0" shrinkToFit="false"/>
      <protection locked="true" hidden="false"/>
    </xf>
    <xf numFmtId="164" fontId="34" fillId="13" borderId="0" xfId="0" applyFont="true" applyBorder="false" applyAlignment="true" applyProtection="false">
      <alignment horizontal="center" vertical="center" textRotation="0" wrapText="false" indent="0" shrinkToFit="false"/>
      <protection locked="true" hidden="false"/>
    </xf>
    <xf numFmtId="164" fontId="35" fillId="6" borderId="0" xfId="0" applyFont="true" applyBorder="false" applyAlignment="true" applyProtection="false">
      <alignment horizontal="left" vertical="center" textRotation="0" wrapText="false" indent="0" shrinkToFit="false"/>
      <protection locked="true" hidden="false"/>
    </xf>
    <xf numFmtId="164" fontId="22" fillId="6" borderId="0" xfId="0" applyFont="true" applyBorder="true" applyAlignment="true" applyProtection="false">
      <alignment horizontal="left" vertical="center" textRotation="0" wrapText="true" indent="0" shrinkToFit="false"/>
      <protection locked="true" hidden="false"/>
    </xf>
    <xf numFmtId="164" fontId="17" fillId="4" borderId="0" xfId="0" applyFont="true" applyBorder="false" applyAlignment="true" applyProtection="false">
      <alignment horizontal="center" vertical="center" textRotation="0" wrapText="false" indent="0" shrinkToFit="false"/>
      <protection locked="true" hidden="false"/>
    </xf>
    <xf numFmtId="164" fontId="22" fillId="6" borderId="0" xfId="0" applyFont="true" applyBorder="false" applyAlignment="true" applyProtection="false">
      <alignment horizontal="center" vertical="center" textRotation="0" wrapText="false" indent="0" shrinkToFit="false"/>
      <protection locked="true" hidden="false"/>
    </xf>
    <xf numFmtId="164" fontId="22" fillId="7" borderId="0" xfId="0" applyFont="true" applyBorder="false" applyAlignment="true" applyProtection="false">
      <alignment horizontal="center" vertical="center" textRotation="0" wrapText="false" indent="0" shrinkToFit="false"/>
      <protection locked="true" hidden="false"/>
    </xf>
    <xf numFmtId="164" fontId="22" fillId="9" borderId="0" xfId="0" applyFont="true" applyBorder="false" applyAlignment="true" applyProtection="false">
      <alignment horizontal="left" vertical="center" textRotation="0" wrapText="false" indent="0" shrinkToFit="false"/>
      <protection locked="true" hidden="false"/>
    </xf>
    <xf numFmtId="164" fontId="22" fillId="9" borderId="0" xfId="0" applyFont="true" applyBorder="false" applyAlignment="true" applyProtection="false">
      <alignment horizontal="center" vertical="center" textRotation="0" wrapText="false" indent="0" shrinkToFit="false"/>
      <protection locked="true" hidden="false"/>
    </xf>
    <xf numFmtId="164" fontId="29" fillId="9" borderId="0" xfId="0" applyFont="true" applyBorder="false" applyAlignment="true" applyProtection="false">
      <alignment horizontal="center" vertical="center" textRotation="0" wrapText="false" indent="0" shrinkToFit="false"/>
      <protection locked="true" hidden="false"/>
    </xf>
    <xf numFmtId="164" fontId="30" fillId="9" borderId="0" xfId="0" applyFont="true" applyBorder="false" applyAlignment="true" applyProtection="false">
      <alignment horizontal="center" vertical="center" textRotation="0" wrapText="false" indent="0" shrinkToFit="false"/>
      <protection locked="true" hidden="false"/>
    </xf>
    <xf numFmtId="164" fontId="36" fillId="14" borderId="1" xfId="0" applyFont="true" applyBorder="true" applyAlignment="true" applyProtection="false">
      <alignment horizontal="general" vertical="center" textRotation="0" wrapText="true" indent="0" shrinkToFit="false"/>
      <protection locked="true" hidden="false"/>
    </xf>
    <xf numFmtId="164" fontId="19" fillId="9" borderId="0" xfId="0" applyFont="true" applyBorder="true" applyAlignment="true" applyProtection="false">
      <alignment horizontal="general" vertical="top" textRotation="0" wrapText="true" indent="0" shrinkToFit="false"/>
      <protection locked="true" hidden="false"/>
    </xf>
    <xf numFmtId="164" fontId="22" fillId="9"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9A7D0A"/>
      <rgbColor rgb="FF800080"/>
      <rgbColor rgb="FF008080"/>
      <rgbColor rgb="FFCCCCCC"/>
      <rgbColor rgb="FF888888"/>
      <rgbColor rgb="FF9999FF"/>
      <rgbColor rgb="FFC0392B"/>
      <rgbColor rgb="FFFFFFCC"/>
      <rgbColor rgb="FFE8F5E8"/>
      <rgbColor rgb="FF660066"/>
      <rgbColor rgb="FFFF8080"/>
      <rgbColor rgb="FF1A75CB"/>
      <rgbColor rgb="FFFADBD8"/>
      <rgbColor rgb="FF000080"/>
      <rgbColor rgb="FFFF00FF"/>
      <rgbColor rgb="FFFFFF00"/>
      <rgbColor rgb="FF00FFFF"/>
      <rgbColor rgb="FF800080"/>
      <rgbColor rgb="FF800000"/>
      <rgbColor rgb="FF008080"/>
      <rgbColor rgb="FF0000FF"/>
      <rgbColor rgb="FF00CCFF"/>
      <rgbColor rgb="FFEEF2FA"/>
      <rgbColor rgb="FFD5F5E3"/>
      <rgbColor rgb="FFFDEBD0"/>
      <rgbColor rgb="FFF4F6FA"/>
      <rgbColor rgb="FFFF99CC"/>
      <rgbColor rgb="FFCC99FF"/>
      <rgbColor rgb="FFF5B7B1"/>
      <rgbColor rgb="FF336699"/>
      <rgbColor rgb="FF33CCCC"/>
      <rgbColor rgb="FF99CC00"/>
      <rgbColor rgb="FFFFCC00"/>
      <rgbColor rgb="FF997700"/>
      <rgbColor rgb="FFCC6600"/>
      <rgbColor rgb="FF666666"/>
      <rgbColor rgb="FFB8955A"/>
      <rgbColor rgb="FF1B3A5C"/>
      <rgbColor rgb="FF1E8449"/>
      <rgbColor rgb="FF003300"/>
      <rgbColor rgb="FF1A1D2E"/>
      <rgbColor rgb="FF922B21"/>
      <rgbColor rgb="FF993366"/>
      <rgbColor rgb="FF2B2F8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20"/>
    <col collapsed="false" customWidth="true" hidden="false" outlineLevel="0" max="4" min="4" style="1" width="55"/>
    <col collapsed="false" customWidth="true" hidden="false" outlineLevel="0" max="6" min="5" style="1" width="35"/>
  </cols>
  <sheetData>
    <row r="1" customFormat="false" ht="30" hidden="false" customHeight="true" outlineLevel="0" collapsed="false">
      <c r="A1" s="2" t="s">
        <v>0</v>
      </c>
      <c r="B1" s="2"/>
      <c r="C1" s="2"/>
      <c r="D1" s="2"/>
      <c r="E1" s="2"/>
      <c r="F1" s="2"/>
    </row>
    <row r="2" customFormat="false" ht="15" hidden="false" customHeight="true" outlineLevel="0" collapsed="false">
      <c r="A2" s="3" t="s">
        <v>1</v>
      </c>
      <c r="B2" s="3"/>
      <c r="C2" s="3"/>
      <c r="D2" s="3"/>
      <c r="E2" s="3"/>
      <c r="F2" s="3"/>
    </row>
    <row r="4" customFormat="false" ht="45" hidden="false" customHeight="true" outlineLevel="0" collapsed="false">
      <c r="A4" s="4" t="s">
        <v>2</v>
      </c>
      <c r="B4" s="4" t="s">
        <v>3</v>
      </c>
      <c r="C4" s="4" t="s">
        <v>4</v>
      </c>
      <c r="D4" s="4" t="s">
        <v>5</v>
      </c>
      <c r="E4" s="4" t="s">
        <v>6</v>
      </c>
      <c r="F4" s="4" t="s">
        <v>7</v>
      </c>
    </row>
    <row r="5" customFormat="false" ht="45" hidden="false" customHeight="true" outlineLevel="0" collapsed="false">
      <c r="A5" s="5" t="s">
        <v>8</v>
      </c>
      <c r="B5" s="5" t="s">
        <v>9</v>
      </c>
      <c r="C5" s="6" t="s">
        <v>10</v>
      </c>
      <c r="D5" s="6" t="s">
        <v>11</v>
      </c>
      <c r="E5" s="6" t="s">
        <v>12</v>
      </c>
      <c r="F5" s="6" t="s">
        <v>13</v>
      </c>
    </row>
    <row r="6" customFormat="false" ht="45" hidden="false" customHeight="true" outlineLevel="0" collapsed="false">
      <c r="A6" s="5" t="s">
        <v>14</v>
      </c>
      <c r="B6" s="5" t="s">
        <v>9</v>
      </c>
      <c r="C6" s="6" t="s">
        <v>10</v>
      </c>
      <c r="D6" s="6" t="s">
        <v>15</v>
      </c>
      <c r="E6" s="6" t="s">
        <v>12</v>
      </c>
      <c r="F6" s="6" t="s">
        <v>13</v>
      </c>
    </row>
    <row r="7" customFormat="false" ht="45" hidden="false" customHeight="true" outlineLevel="0" collapsed="false">
      <c r="A7" s="5" t="s">
        <v>16</v>
      </c>
      <c r="B7" s="5" t="s">
        <v>9</v>
      </c>
      <c r="C7" s="6" t="s">
        <v>10</v>
      </c>
      <c r="D7" s="6" t="s">
        <v>17</v>
      </c>
      <c r="E7" s="6" t="s">
        <v>12</v>
      </c>
      <c r="F7" s="6" t="s">
        <v>13</v>
      </c>
    </row>
    <row r="8" customFormat="false" ht="45" hidden="false" customHeight="true" outlineLevel="0" collapsed="false">
      <c r="A8" s="7" t="s">
        <v>18</v>
      </c>
      <c r="B8" s="7" t="s">
        <v>19</v>
      </c>
      <c r="C8" s="6" t="s">
        <v>10</v>
      </c>
      <c r="D8" s="6" t="s">
        <v>20</v>
      </c>
      <c r="E8" s="6" t="s">
        <v>21</v>
      </c>
      <c r="F8" s="6" t="s">
        <v>22</v>
      </c>
    </row>
    <row r="9" customFormat="false" ht="45" hidden="false" customHeight="true" outlineLevel="0" collapsed="false">
      <c r="A9" s="7" t="s">
        <v>23</v>
      </c>
      <c r="B9" s="7" t="s">
        <v>19</v>
      </c>
      <c r="C9" s="6" t="s">
        <v>10</v>
      </c>
      <c r="D9" s="6" t="s">
        <v>24</v>
      </c>
      <c r="E9" s="6" t="s">
        <v>25</v>
      </c>
      <c r="F9" s="6" t="s">
        <v>26</v>
      </c>
    </row>
    <row r="10" customFormat="false" ht="45" hidden="false" customHeight="true" outlineLevel="0" collapsed="false">
      <c r="A10" s="7" t="s">
        <v>27</v>
      </c>
      <c r="B10" s="7" t="s">
        <v>19</v>
      </c>
      <c r="C10" s="6" t="s">
        <v>10</v>
      </c>
      <c r="D10" s="6" t="s">
        <v>28</v>
      </c>
      <c r="E10" s="6" t="s">
        <v>29</v>
      </c>
      <c r="F10" s="6" t="s">
        <v>22</v>
      </c>
    </row>
    <row r="11" customFormat="false" ht="45" hidden="false" customHeight="true" outlineLevel="0" collapsed="false">
      <c r="A11" s="7" t="s">
        <v>30</v>
      </c>
      <c r="B11" s="7" t="s">
        <v>19</v>
      </c>
      <c r="C11" s="6" t="s">
        <v>10</v>
      </c>
      <c r="D11" s="6" t="s">
        <v>31</v>
      </c>
      <c r="E11" s="6" t="s">
        <v>29</v>
      </c>
      <c r="F11" s="6" t="s">
        <v>21</v>
      </c>
    </row>
    <row r="12" customFormat="false" ht="45" hidden="false" customHeight="true" outlineLevel="0" collapsed="false">
      <c r="A12" s="7" t="s">
        <v>32</v>
      </c>
      <c r="B12" s="7" t="s">
        <v>19</v>
      </c>
      <c r="C12" s="6" t="s">
        <v>10</v>
      </c>
      <c r="D12" s="6" t="s">
        <v>33</v>
      </c>
      <c r="E12" s="6" t="s">
        <v>29</v>
      </c>
      <c r="F12" s="6" t="s">
        <v>21</v>
      </c>
    </row>
    <row r="13" customFormat="false" ht="45" hidden="false" customHeight="true" outlineLevel="0" collapsed="false">
      <c r="A13" s="7" t="s">
        <v>34</v>
      </c>
      <c r="B13" s="7" t="s">
        <v>19</v>
      </c>
      <c r="C13" s="6" t="s">
        <v>10</v>
      </c>
      <c r="D13" s="6" t="s">
        <v>35</v>
      </c>
      <c r="E13" s="6" t="s">
        <v>29</v>
      </c>
      <c r="F13" s="6" t="s">
        <v>21</v>
      </c>
    </row>
    <row r="14" customFormat="false" ht="45" hidden="false" customHeight="true" outlineLevel="0" collapsed="false">
      <c r="A14" s="7" t="s">
        <v>36</v>
      </c>
      <c r="B14" s="7" t="s">
        <v>19</v>
      </c>
      <c r="C14" s="6" t="s">
        <v>10</v>
      </c>
      <c r="D14" s="6" t="s">
        <v>37</v>
      </c>
      <c r="E14" s="6" t="s">
        <v>29</v>
      </c>
      <c r="F14" s="6" t="s">
        <v>21</v>
      </c>
    </row>
    <row r="15" customFormat="false" ht="45" hidden="false" customHeight="true" outlineLevel="0" collapsed="false">
      <c r="A15" s="7" t="s">
        <v>38</v>
      </c>
      <c r="B15" s="7" t="s">
        <v>19</v>
      </c>
      <c r="C15" s="6" t="s">
        <v>10</v>
      </c>
      <c r="D15" s="6" t="s">
        <v>39</v>
      </c>
      <c r="E15" s="6" t="s">
        <v>29</v>
      </c>
      <c r="F15" s="6" t="s">
        <v>22</v>
      </c>
    </row>
    <row r="16" customFormat="false" ht="45" hidden="false" customHeight="true" outlineLevel="0" collapsed="false">
      <c r="A16" s="7" t="s">
        <v>40</v>
      </c>
      <c r="B16" s="7" t="s">
        <v>19</v>
      </c>
      <c r="C16" s="6" t="s">
        <v>10</v>
      </c>
      <c r="D16" s="6" t="s">
        <v>41</v>
      </c>
      <c r="E16" s="6" t="s">
        <v>29</v>
      </c>
      <c r="F16" s="6" t="s">
        <v>22</v>
      </c>
    </row>
    <row r="17" customFormat="false" ht="45" hidden="false" customHeight="true" outlineLevel="0" collapsed="false">
      <c r="A17" s="7" t="s">
        <v>42</v>
      </c>
      <c r="B17" s="7" t="s">
        <v>19</v>
      </c>
      <c r="C17" s="6" t="s">
        <v>10</v>
      </c>
      <c r="D17" s="6" t="s">
        <v>43</v>
      </c>
      <c r="E17" s="6" t="s">
        <v>29</v>
      </c>
      <c r="F17" s="6" t="s">
        <v>22</v>
      </c>
    </row>
    <row r="18" customFormat="false" ht="45" hidden="false" customHeight="true" outlineLevel="0" collapsed="false">
      <c r="A18" s="8" t="s">
        <v>44</v>
      </c>
      <c r="B18" s="8" t="s">
        <v>45</v>
      </c>
      <c r="C18" s="6" t="s">
        <v>10</v>
      </c>
      <c r="D18" s="6" t="s">
        <v>46</v>
      </c>
      <c r="E18" s="6" t="s">
        <v>21</v>
      </c>
      <c r="F18" s="6" t="s">
        <v>47</v>
      </c>
    </row>
    <row r="19" customFormat="false" ht="45" hidden="false" customHeight="true" outlineLevel="0" collapsed="false">
      <c r="A19" s="8" t="s">
        <v>48</v>
      </c>
      <c r="B19" s="8" t="s">
        <v>45</v>
      </c>
      <c r="C19" s="6" t="s">
        <v>10</v>
      </c>
      <c r="D19" s="6" t="s">
        <v>49</v>
      </c>
      <c r="E19" s="6" t="s">
        <v>29</v>
      </c>
      <c r="F19" s="6" t="s">
        <v>47</v>
      </c>
    </row>
    <row r="20" customFormat="false" ht="45" hidden="false" customHeight="true" outlineLevel="0" collapsed="false">
      <c r="A20" s="8" t="s">
        <v>50</v>
      </c>
      <c r="B20" s="8" t="s">
        <v>45</v>
      </c>
      <c r="C20" s="6" t="s">
        <v>10</v>
      </c>
      <c r="D20" s="6" t="s">
        <v>51</v>
      </c>
      <c r="E20" s="6" t="s">
        <v>29</v>
      </c>
      <c r="F20" s="6" t="s">
        <v>47</v>
      </c>
    </row>
    <row r="21" customFormat="false" ht="45" hidden="false" customHeight="true" outlineLevel="0" collapsed="false">
      <c r="A21" s="8" t="s">
        <v>52</v>
      </c>
      <c r="B21" s="8" t="s">
        <v>45</v>
      </c>
      <c r="C21" s="6" t="s">
        <v>10</v>
      </c>
      <c r="D21" s="6" t="s">
        <v>53</v>
      </c>
      <c r="E21" s="6" t="s">
        <v>29</v>
      </c>
      <c r="F21" s="6" t="s">
        <v>21</v>
      </c>
    </row>
    <row r="22" customFormat="false" ht="45" hidden="false" customHeight="true" outlineLevel="0" collapsed="false">
      <c r="A22" s="8" t="s">
        <v>54</v>
      </c>
      <c r="B22" s="8" t="s">
        <v>45</v>
      </c>
      <c r="C22" s="6" t="s">
        <v>10</v>
      </c>
      <c r="D22" s="6" t="s">
        <v>55</v>
      </c>
      <c r="E22" s="6" t="s">
        <v>29</v>
      </c>
      <c r="F22" s="6" t="s">
        <v>21</v>
      </c>
    </row>
    <row r="23" customFormat="false" ht="45" hidden="false" customHeight="true" outlineLevel="0" collapsed="false">
      <c r="A23" s="8" t="s">
        <v>56</v>
      </c>
      <c r="B23" s="8" t="s">
        <v>45</v>
      </c>
      <c r="C23" s="6" t="s">
        <v>10</v>
      </c>
      <c r="D23" s="6" t="s">
        <v>57</v>
      </c>
      <c r="E23" s="6" t="s">
        <v>29</v>
      </c>
      <c r="F23" s="6" t="s">
        <v>22</v>
      </c>
    </row>
    <row r="24" customFormat="false" ht="45" hidden="false" customHeight="true" outlineLevel="0" collapsed="false">
      <c r="A24" s="7" t="s">
        <v>58</v>
      </c>
      <c r="B24" s="7" t="s">
        <v>19</v>
      </c>
      <c r="C24" s="6" t="s">
        <v>59</v>
      </c>
      <c r="D24" s="6" t="s">
        <v>60</v>
      </c>
      <c r="E24" s="6" t="s">
        <v>61</v>
      </c>
      <c r="F24" s="6" t="s">
        <v>62</v>
      </c>
    </row>
    <row r="25" customFormat="false" ht="45" hidden="false" customHeight="true" outlineLevel="0" collapsed="false">
      <c r="A25" s="7" t="s">
        <v>63</v>
      </c>
      <c r="B25" s="7" t="s">
        <v>19</v>
      </c>
      <c r="C25" s="6" t="s">
        <v>64</v>
      </c>
      <c r="D25" s="6" t="s">
        <v>65</v>
      </c>
      <c r="E25" s="6" t="s">
        <v>66</v>
      </c>
      <c r="F25" s="6" t="s">
        <v>67</v>
      </c>
    </row>
    <row r="26" customFormat="false" ht="45" hidden="false" customHeight="true" outlineLevel="0" collapsed="false">
      <c r="A26" s="8" t="s">
        <v>68</v>
      </c>
      <c r="B26" s="8" t="s">
        <v>45</v>
      </c>
      <c r="C26" s="6" t="s">
        <v>69</v>
      </c>
      <c r="D26" s="6" t="s">
        <v>70</v>
      </c>
      <c r="E26" s="6" t="s">
        <v>71</v>
      </c>
      <c r="F26" s="6" t="s">
        <v>72</v>
      </c>
    </row>
    <row r="27" customFormat="false" ht="45" hidden="false" customHeight="true" outlineLevel="0" collapsed="false">
      <c r="A27" s="8" t="s">
        <v>73</v>
      </c>
      <c r="B27" s="8" t="s">
        <v>45</v>
      </c>
      <c r="C27" s="6" t="s">
        <v>69</v>
      </c>
      <c r="D27" s="6" t="s">
        <v>74</v>
      </c>
      <c r="E27" s="6" t="s">
        <v>71</v>
      </c>
      <c r="F27" s="6" t="s">
        <v>75</v>
      </c>
    </row>
    <row r="28" customFormat="false" ht="45" hidden="false" customHeight="true" outlineLevel="0" collapsed="false">
      <c r="A28" s="9" t="s">
        <v>76</v>
      </c>
      <c r="B28" s="9" t="s">
        <v>77</v>
      </c>
      <c r="C28" s="6" t="s">
        <v>69</v>
      </c>
      <c r="D28" s="6" t="s">
        <v>78</v>
      </c>
      <c r="E28" s="6" t="s">
        <v>79</v>
      </c>
      <c r="F28" s="6" t="s">
        <v>80</v>
      </c>
    </row>
    <row r="29" customFormat="false" ht="45" hidden="false" customHeight="true" outlineLevel="0" collapsed="false">
      <c r="A29" s="10" t="s">
        <v>81</v>
      </c>
      <c r="B29" s="10" t="s">
        <v>82</v>
      </c>
      <c r="C29" s="6" t="s">
        <v>64</v>
      </c>
      <c r="D29" s="6" t="s">
        <v>83</v>
      </c>
      <c r="E29" s="6" t="s">
        <v>84</v>
      </c>
      <c r="F29" s="6" t="s">
        <v>85</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4"/>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B23" activeCellId="0" sqref="B23"/>
    </sheetView>
  </sheetViews>
  <sheetFormatPr defaultColWidth="8.66796875" defaultRowHeight="15" customHeight="true" zeroHeight="false" outlineLevelRow="0" outlineLevelCol="0"/>
  <cols>
    <col collapsed="false" customWidth="true" hidden="false" outlineLevel="0" max="1" min="1" style="1" width="44"/>
    <col collapsed="false" customWidth="true" hidden="false" outlineLevel="0" max="2" min="2" style="1" width="50"/>
    <col collapsed="false" customWidth="true" hidden="false" outlineLevel="0" max="3" min="3" style="1" width="14"/>
    <col collapsed="false" customWidth="true" hidden="false" outlineLevel="0" max="5" min="4" style="1" width="16"/>
  </cols>
  <sheetData>
    <row r="1" customFormat="false" ht="43.5" hidden="false" customHeight="true" outlineLevel="0" collapsed="false">
      <c r="A1" s="11" t="s">
        <v>86</v>
      </c>
      <c r="B1" s="11"/>
      <c r="C1" s="11"/>
      <c r="D1" s="11"/>
      <c r="E1" s="11"/>
    </row>
    <row r="2" customFormat="false" ht="21.75" hidden="false" customHeight="true" outlineLevel="0" collapsed="false">
      <c r="A2" s="12" t="s">
        <v>87</v>
      </c>
      <c r="B2" s="12"/>
      <c r="C2" s="12"/>
      <c r="D2" s="12"/>
      <c r="E2" s="12"/>
    </row>
    <row r="3" customFormat="false" ht="6" hidden="false" customHeight="true" outlineLevel="0" collapsed="false"/>
    <row r="4" customFormat="false" ht="19.5" hidden="false" customHeight="true" outlineLevel="0" collapsed="false">
      <c r="A4" s="13" t="s">
        <v>88</v>
      </c>
      <c r="B4" s="14"/>
      <c r="C4" s="14"/>
      <c r="D4" s="14"/>
      <c r="E4" s="14"/>
    </row>
    <row r="5" customFormat="false" ht="19.5" hidden="false" customHeight="true" outlineLevel="0" collapsed="false">
      <c r="A5" s="13" t="s">
        <v>89</v>
      </c>
      <c r="B5" s="14"/>
      <c r="C5" s="14"/>
      <c r="D5" s="14"/>
      <c r="E5" s="14"/>
    </row>
    <row r="6" customFormat="false" ht="19.5" hidden="false" customHeight="true" outlineLevel="0" collapsed="false">
      <c r="A6" s="13" t="s">
        <v>90</v>
      </c>
      <c r="B6" s="15" t="s">
        <v>91</v>
      </c>
      <c r="C6" s="15"/>
      <c r="D6" s="15"/>
      <c r="E6" s="15"/>
    </row>
    <row r="7" customFormat="false" ht="19.5" hidden="false" customHeight="true" outlineLevel="0" collapsed="false">
      <c r="A7" s="13" t="s">
        <v>92</v>
      </c>
      <c r="B7" s="14"/>
      <c r="C7" s="14"/>
      <c r="D7" s="14"/>
      <c r="E7" s="14"/>
    </row>
    <row r="8" customFormat="false" ht="6" hidden="false" customHeight="true" outlineLevel="0" collapsed="false"/>
    <row r="9" customFormat="false" ht="21.75" hidden="false" customHeight="true" outlineLevel="0" collapsed="false">
      <c r="A9" s="16" t="s">
        <v>93</v>
      </c>
      <c r="B9" s="16" t="s">
        <v>94</v>
      </c>
      <c r="C9" s="16" t="s">
        <v>95</v>
      </c>
      <c r="D9" s="16" t="s">
        <v>96</v>
      </c>
      <c r="E9" s="16" t="s">
        <v>97</v>
      </c>
    </row>
    <row r="10" customFormat="false" ht="21.75" hidden="false" customHeight="true" outlineLevel="0" collapsed="false">
      <c r="A10" s="17" t="s">
        <v>98</v>
      </c>
      <c r="B10" s="17"/>
      <c r="C10" s="17"/>
      <c r="D10" s="17"/>
      <c r="E10" s="17"/>
    </row>
    <row r="11" customFormat="false" ht="19.5" hidden="false" customHeight="true" outlineLevel="0" collapsed="false">
      <c r="A11" s="18" t="s">
        <v>99</v>
      </c>
      <c r="B11" s="19"/>
      <c r="C11" s="20" t="n">
        <f aca="false">IFERROR(VLOOKUP(B11,'Score Reference'!$A$3:$B$14,2,FALSE()),0)</f>
        <v>0</v>
      </c>
      <c r="D11" s="21" t="n">
        <v>0.2</v>
      </c>
      <c r="E11" s="21" t="n">
        <f aca="false">IF(ISNUMBER(C11),C11*D11,0)</f>
        <v>0</v>
      </c>
    </row>
    <row r="12" customFormat="false" ht="19.5" hidden="false" customHeight="true" outlineLevel="0" collapsed="false">
      <c r="A12" s="22" t="s">
        <v>100</v>
      </c>
      <c r="B12" s="19"/>
      <c r="C12" s="23" t="n">
        <f aca="false">IFERROR(VLOOKUP(B12,'Score Reference'!$A$19:$B$22,2,FALSE()),0)</f>
        <v>0</v>
      </c>
      <c r="D12" s="24" t="n">
        <v>0.2</v>
      </c>
      <c r="E12" s="24" t="n">
        <f aca="false">IF(ISNUMBER(C12),C12*D12,0)</f>
        <v>0</v>
      </c>
    </row>
    <row r="13" customFormat="false" ht="19.5" hidden="false" customHeight="true" outlineLevel="0" collapsed="false">
      <c r="A13" s="18" t="s">
        <v>101</v>
      </c>
      <c r="B13" s="19"/>
      <c r="C13" s="20" t="n">
        <f aca="false">IFERROR(VLOOKUP(B13,'Score Reference'!$A$27:$B$30,2,FALSE()),0)</f>
        <v>0</v>
      </c>
      <c r="D13" s="21" t="n">
        <v>0.25</v>
      </c>
      <c r="E13" s="21" t="n">
        <f aca="false">IF(ISNUMBER(C13),C13*D13,0)</f>
        <v>0</v>
      </c>
    </row>
    <row r="14" customFormat="false" ht="19.5" hidden="false" customHeight="true" outlineLevel="0" collapsed="false">
      <c r="A14" s="22" t="s">
        <v>102</v>
      </c>
      <c r="B14" s="19"/>
      <c r="C14" s="23" t="n">
        <f aca="false">IFERROR(VLOOKUP(B14,'Score Reference'!$A$35:$B$37,2,FALSE()),0)</f>
        <v>0</v>
      </c>
      <c r="D14" s="24" t="n">
        <v>0.15</v>
      </c>
      <c r="E14" s="24" t="n">
        <f aca="false">IF(ISNUMBER(C14),C14*D14,0)</f>
        <v>0</v>
      </c>
    </row>
    <row r="15" customFormat="false" ht="19.5" hidden="false" customHeight="true" outlineLevel="0" collapsed="false">
      <c r="A15" s="18" t="s">
        <v>103</v>
      </c>
      <c r="B15" s="19"/>
      <c r="C15" s="20" t="str">
        <f aca="false">IFERROR(VLOOKUP(B15,'Score Reference'!$A$141:$B$148,2,FALSE()),"")</f>
        <v/>
      </c>
      <c r="D15" s="21" t="n">
        <v>0.1</v>
      </c>
      <c r="E15" s="21" t="n">
        <f aca="false">IF(ISNUMBER(C15),C15*D15,0)</f>
        <v>0</v>
      </c>
    </row>
    <row r="16" customFormat="false" ht="19.5" hidden="false" customHeight="true" outlineLevel="0" collapsed="false">
      <c r="A16" s="22" t="s">
        <v>104</v>
      </c>
      <c r="B16" s="19"/>
      <c r="C16" s="23" t="str">
        <f aca="false">IFERROR(VLOOKUP(B16,'Score Reference'!$A$152:$B$160,2,FALSE()),"")</f>
        <v/>
      </c>
      <c r="D16" s="24" t="n">
        <v>0.1</v>
      </c>
      <c r="E16" s="24" t="n">
        <f aca="false">IF(ISNUMBER(C16),C16*D16,0)</f>
        <v>0</v>
      </c>
    </row>
    <row r="17" customFormat="false" ht="21.75" hidden="false" customHeight="true" outlineLevel="0" collapsed="false">
      <c r="A17" s="25" t="s">
        <v>105</v>
      </c>
      <c r="B17" s="26" t="s">
        <v>106</v>
      </c>
      <c r="C17" s="26"/>
      <c r="D17" s="27" t="n">
        <v>0.3</v>
      </c>
      <c r="E17" s="27" t="n">
        <f aca="false">IFERROR(SUMPRODUCT(C11:C16,D11:D16),0)</f>
        <v>0</v>
      </c>
    </row>
    <row r="18" customFormat="false" ht="6" hidden="false" customHeight="true" outlineLevel="0" collapsed="false"/>
    <row r="19" customFormat="false" ht="21.75" hidden="false" customHeight="true" outlineLevel="0" collapsed="false">
      <c r="A19" s="17" t="s">
        <v>107</v>
      </c>
      <c r="B19" s="17"/>
      <c r="C19" s="17"/>
      <c r="D19" s="17"/>
      <c r="E19" s="17"/>
    </row>
    <row r="20" customFormat="false" ht="19.5" hidden="false" customHeight="true" outlineLevel="0" collapsed="false">
      <c r="A20" s="18" t="s">
        <v>108</v>
      </c>
      <c r="B20" s="19"/>
      <c r="C20" s="20" t="n">
        <f aca="false">IFERROR(VLOOKUP(B20,'Score Reference'!$A$43:$B$46,2,FALSE()),0)</f>
        <v>0</v>
      </c>
      <c r="D20" s="21" t="n">
        <v>0.25</v>
      </c>
      <c r="E20" s="21" t="n">
        <f aca="false">IF(ISNUMBER(C20),C20*D20,0)</f>
        <v>0</v>
      </c>
    </row>
    <row r="21" customFormat="false" ht="19.5" hidden="false" customHeight="true" outlineLevel="0" collapsed="false">
      <c r="A21" s="22" t="s">
        <v>109</v>
      </c>
      <c r="B21" s="19"/>
      <c r="C21" s="23" t="n">
        <f aca="false">IFERROR(VLOOKUP(B21,'Score Reference'!$A$205:$B$208,2,FALSE()),0)</f>
        <v>0</v>
      </c>
      <c r="D21" s="24" t="n">
        <v>0.2</v>
      </c>
      <c r="E21" s="24" t="n">
        <f aca="false">IF(ISNUMBER(C21),C21*D21,0)</f>
        <v>0</v>
      </c>
    </row>
    <row r="22" customFormat="false" ht="19.5" hidden="false" customHeight="true" outlineLevel="0" collapsed="false">
      <c r="A22" s="18" t="s">
        <v>110</v>
      </c>
      <c r="B22" s="19"/>
      <c r="C22" s="20" t="n">
        <f aca="false">IFERROR(VLOOKUP(B22,'Score Reference'!$A$213:$B$216,2,FALSE()),0)</f>
        <v>0</v>
      </c>
      <c r="D22" s="21" t="n">
        <v>0.2</v>
      </c>
      <c r="E22" s="21" t="n">
        <f aca="false">IF(ISNUMBER(C22),C22*D22,0)</f>
        <v>0</v>
      </c>
    </row>
    <row r="23" customFormat="false" ht="19.5" hidden="false" customHeight="true" outlineLevel="0" collapsed="false">
      <c r="A23" s="22" t="s">
        <v>111</v>
      </c>
      <c r="B23" s="19"/>
      <c r="C23" s="23" t="n">
        <f aca="false">IFERROR(VLOOKUP(B23,'Score Reference'!$A$51:$B$54,2,FALSE()),0)</f>
        <v>0</v>
      </c>
      <c r="D23" s="24" t="n">
        <v>0.2</v>
      </c>
      <c r="E23" s="24" t="n">
        <f aca="false">IF(ISNUMBER(C23),C23*D23,0)</f>
        <v>0</v>
      </c>
    </row>
    <row r="24" customFormat="false" ht="19.5" hidden="false" customHeight="true" outlineLevel="0" collapsed="false">
      <c r="A24" s="18" t="s">
        <v>112</v>
      </c>
      <c r="B24" s="19"/>
      <c r="C24" s="20" t="n">
        <f aca="false">IFERROR(VLOOKUP(B24,'Score Reference'!$A$59:$B$62,2,FALSE()),0)</f>
        <v>0</v>
      </c>
      <c r="D24" s="21" t="n">
        <v>0.15</v>
      </c>
      <c r="E24" s="21" t="n">
        <f aca="false">IF(ISNUMBER(C24),C24*D24,0)</f>
        <v>0</v>
      </c>
    </row>
    <row r="25" customFormat="false" ht="21.75" hidden="false" customHeight="true" outlineLevel="0" collapsed="false">
      <c r="A25" s="25" t="s">
        <v>113</v>
      </c>
      <c r="B25" s="26" t="s">
        <v>106</v>
      </c>
      <c r="C25" s="26"/>
      <c r="D25" s="27" t="n">
        <v>0.25</v>
      </c>
      <c r="E25" s="27" t="n">
        <f aca="false">IFERROR(SUMPRODUCT(C20:C24,D20:D24),0)</f>
        <v>0</v>
      </c>
    </row>
    <row r="26" customFormat="false" ht="6" hidden="false" customHeight="true" outlineLevel="0" collapsed="false"/>
    <row r="27" customFormat="false" ht="21.75" hidden="false" customHeight="true" outlineLevel="0" collapsed="false">
      <c r="A27" s="17" t="s">
        <v>114</v>
      </c>
      <c r="B27" s="17"/>
      <c r="C27" s="17"/>
      <c r="D27" s="17"/>
      <c r="E27" s="17"/>
    </row>
    <row r="28" customFormat="false" ht="19.5" hidden="false" customHeight="true" outlineLevel="0" collapsed="false">
      <c r="A28" s="18" t="s">
        <v>115</v>
      </c>
      <c r="B28" s="19" t="s">
        <v>116</v>
      </c>
      <c r="C28" s="20" t="n">
        <f aca="false">IFERROR(VLOOKUP(B28,'Score Reference'!$A$68:$B$70,2,FALSE()),0)</f>
        <v>1</v>
      </c>
      <c r="D28" s="21" t="n">
        <v>0.4</v>
      </c>
      <c r="E28" s="21" t="n">
        <f aca="false">IF(ISNUMBER(C28),C28*D28,0)</f>
        <v>0.4</v>
      </c>
    </row>
    <row r="29" customFormat="false" ht="19.5" hidden="false" customHeight="true" outlineLevel="0" collapsed="false">
      <c r="A29" s="22" t="s">
        <v>117</v>
      </c>
      <c r="B29" s="19"/>
      <c r="C29" s="23" t="n">
        <f aca="false">IFERROR(VLOOKUP(B29,'Score Reference'!$A$76:$B$79,2,FALSE()),0)</f>
        <v>0</v>
      </c>
      <c r="D29" s="24" t="n">
        <v>0.35</v>
      </c>
      <c r="E29" s="24" t="n">
        <f aca="false">IF(ISNUMBER(C29),C29*D29,0)</f>
        <v>0</v>
      </c>
    </row>
    <row r="30" customFormat="false" ht="19.5" hidden="false" customHeight="true" outlineLevel="0" collapsed="false">
      <c r="A30" s="18" t="s">
        <v>118</v>
      </c>
      <c r="B30" s="19"/>
      <c r="C30" s="20" t="n">
        <f aca="false">IFERROR(VLOOKUP(B30,'Score Reference'!$A$84:$B$87,2,FALSE()),0)</f>
        <v>0</v>
      </c>
      <c r="D30" s="21" t="n">
        <v>0.25</v>
      </c>
      <c r="E30" s="21" t="n">
        <f aca="false">IF(ISNUMBER(C30),C30*D30,0)</f>
        <v>0</v>
      </c>
    </row>
    <row r="31" customFormat="false" ht="21.75" hidden="false" customHeight="true" outlineLevel="0" collapsed="false">
      <c r="A31" s="25" t="s">
        <v>119</v>
      </c>
      <c r="B31" s="26" t="s">
        <v>106</v>
      </c>
      <c r="C31" s="26"/>
      <c r="D31" s="27" t="n">
        <v>0.2</v>
      </c>
      <c r="E31" s="27" t="n">
        <f aca="false">IFERROR(SUMPRODUCT(C28:C30,D28:D30),0)</f>
        <v>0.4</v>
      </c>
    </row>
    <row r="32" customFormat="false" ht="6" hidden="false" customHeight="true" outlineLevel="0" collapsed="false"/>
    <row r="33" customFormat="false" ht="21.75" hidden="false" customHeight="true" outlineLevel="0" collapsed="false">
      <c r="A33" s="17" t="s">
        <v>120</v>
      </c>
      <c r="B33" s="17"/>
      <c r="C33" s="17"/>
      <c r="D33" s="17"/>
      <c r="E33" s="17"/>
    </row>
    <row r="34" customFormat="false" ht="19.5" hidden="false" customHeight="true" outlineLevel="0" collapsed="false">
      <c r="A34" s="18" t="s">
        <v>121</v>
      </c>
      <c r="B34" s="19"/>
      <c r="C34" s="20" t="n">
        <f aca="false">IFERROR(VLOOKUP(B34,'Score Reference'!$A$93:$B$120,2,FALSE()),0)</f>
        <v>0</v>
      </c>
      <c r="D34" s="21" t="n">
        <v>1</v>
      </c>
      <c r="E34" s="21" t="n">
        <f aca="false">IF(ISNUMBER(C34),C34*D34,0)</f>
        <v>0</v>
      </c>
    </row>
    <row r="35" customFormat="false" ht="21.75" hidden="false" customHeight="true" outlineLevel="0" collapsed="false">
      <c r="A35" s="25" t="s">
        <v>122</v>
      </c>
      <c r="B35" s="26" t="s">
        <v>106</v>
      </c>
      <c r="C35" s="26"/>
      <c r="D35" s="27" t="n">
        <v>0.15</v>
      </c>
      <c r="E35" s="27" t="n">
        <f aca="false">IFERROR(SUMPRODUCT(C34,D34),0)</f>
        <v>0</v>
      </c>
    </row>
    <row r="36" customFormat="false" ht="6" hidden="false" customHeight="true" outlineLevel="0" collapsed="false"/>
    <row r="37" customFormat="false" ht="21.75" hidden="false" customHeight="true" outlineLevel="0" collapsed="false">
      <c r="A37" s="17" t="s">
        <v>123</v>
      </c>
      <c r="B37" s="17"/>
      <c r="C37" s="17"/>
      <c r="D37" s="17"/>
      <c r="E37" s="17"/>
    </row>
    <row r="38" customFormat="false" ht="19.5" hidden="false" customHeight="true" outlineLevel="0" collapsed="false">
      <c r="A38" s="18" t="s">
        <v>124</v>
      </c>
      <c r="B38" s="19"/>
      <c r="C38" s="20" t="n">
        <f aca="false">IFERROR(VLOOKUP(B38,'Score Reference'!$A$125:$B$128,2,FALSE()),0)</f>
        <v>0</v>
      </c>
      <c r="D38" s="21" t="n">
        <v>0.5</v>
      </c>
      <c r="E38" s="21" t="n">
        <f aca="false">IF(ISNUMBER(C38),C38*D38,0)</f>
        <v>0</v>
      </c>
    </row>
    <row r="39" customFormat="false" ht="19.5" hidden="false" customHeight="true" outlineLevel="0" collapsed="false">
      <c r="A39" s="22" t="s">
        <v>125</v>
      </c>
      <c r="B39" s="19"/>
      <c r="C39" s="23" t="n">
        <f aca="false">IFERROR(VLOOKUP(B39,'Score Reference'!$A$133:$B$136,2,FALSE()),0)</f>
        <v>0</v>
      </c>
      <c r="D39" s="24" t="n">
        <v>0.5</v>
      </c>
      <c r="E39" s="24" t="n">
        <f aca="false">IF(ISNUMBER(C39),C39*D39,0)</f>
        <v>0</v>
      </c>
    </row>
    <row r="40" customFormat="false" ht="21.75" hidden="false" customHeight="true" outlineLevel="0" collapsed="false">
      <c r="A40" s="25" t="s">
        <v>126</v>
      </c>
      <c r="B40" s="26" t="s">
        <v>106</v>
      </c>
      <c r="C40" s="26"/>
      <c r="D40" s="27" t="n">
        <v>0.1</v>
      </c>
      <c r="E40" s="27" t="n">
        <f aca="false">IFERROR(SUMPRODUCT(C38:C39,D38:D39),0)</f>
        <v>0</v>
      </c>
    </row>
    <row r="41" customFormat="false" ht="6" hidden="false" customHeight="true" outlineLevel="0" collapsed="false"/>
    <row r="42" customFormat="false" ht="6" hidden="false" customHeight="true" outlineLevel="0" collapsed="false"/>
    <row r="43" customFormat="false" ht="6" hidden="false" customHeight="true" outlineLevel="0" collapsed="false"/>
    <row r="44" customFormat="false" ht="6" hidden="false" customHeight="true" outlineLevel="0" collapsed="false"/>
    <row r="45" customFormat="false" ht="6" hidden="false" customHeight="true" outlineLevel="0" collapsed="false"/>
    <row r="46" customFormat="false" ht="6" hidden="false" customHeight="true" outlineLevel="0" collapsed="false"/>
    <row r="47" customFormat="false" ht="6" hidden="false" customHeight="true" outlineLevel="0" collapsed="false"/>
    <row r="48" customFormat="false" ht="30" hidden="false" customHeight="true" outlineLevel="0" collapsed="false">
      <c r="A48" s="28" t="s">
        <v>127</v>
      </c>
      <c r="B48" s="28"/>
      <c r="C48" s="28"/>
      <c r="D48" s="28"/>
      <c r="E48" s="28"/>
    </row>
    <row r="49" customFormat="false" ht="27.75" hidden="false" customHeight="true" outlineLevel="0" collapsed="false">
      <c r="A49" s="13" t="s">
        <v>128</v>
      </c>
      <c r="B49" s="29" t="s">
        <v>129</v>
      </c>
      <c r="C49" s="29"/>
      <c r="D49" s="29"/>
      <c r="E49" s="30" t="n">
        <f aca="false">IFERROR(ROUND((E17+E25+E31+E35+E40)/4*100,1),0)</f>
        <v>10</v>
      </c>
    </row>
    <row r="50" customFormat="false" ht="27.75" hidden="false" customHeight="true" outlineLevel="0" collapsed="false">
      <c r="A50" s="13" t="s">
        <v>130</v>
      </c>
      <c r="B50" s="31" t="s">
        <v>131</v>
      </c>
      <c r="C50" s="31"/>
      <c r="D50" s="31"/>
      <c r="E50" s="32" t="str">
        <f aca="false">IF(E49&gt;=70,"HIGH RISK",IF(E49&gt;=40,"MEDIUM RISK",IF(E49&gt;0,"LOW RISK","Awaiting Input")))</f>
        <v>LOW RISK</v>
      </c>
    </row>
    <row r="51" customFormat="false" ht="7.5" hidden="false" customHeight="true" outlineLevel="0" collapsed="false">
      <c r="A51" s="13" t="s">
        <v>132</v>
      </c>
      <c r="B51" s="33" t="str">
        <f aca="false">IF(E49&gt;=70,"Enhanced Due Diligence (EDD) — Senior Compliance Review Required",IF(E49&gt;=40,"Customer Due Diligence (CDD) — Standard Onboarding",IF(E49&gt;0,"Simplified Due Diligence (SDD) — Fast-Track Eligible","")))</f>
        <v>Simplified Due Diligence (SDD) — Fast-Track Eligible</v>
      </c>
      <c r="C51" s="33"/>
      <c r="D51" s="33"/>
      <c r="E51" s="33"/>
    </row>
    <row r="52" customFormat="false" ht="13.5" hidden="false" customHeight="true" outlineLevel="0" collapsed="false">
      <c r="A52" s="13" t="s">
        <v>133</v>
      </c>
      <c r="B52" s="33" t="str">
        <f aca="false">IF(OR(COUNTIF(C11:C16,4)&gt;0,COUNTIF(C20:C24,4)&gt;0,COUNTIF(C28:C30,4)&gt;0,COUNTIF(C34,4)&gt;0,E49&gt;=85),"⚠️ MANDATORY COMPLIANCE OFFICER APPROVAL REQUIRED","")</f>
        <v/>
      </c>
      <c r="C52" s="33"/>
      <c r="D52" s="33"/>
      <c r="E52" s="33"/>
    </row>
    <row r="53" customFormat="false" ht="7.5" hidden="false" customHeight="true" outlineLevel="0" collapsed="false"/>
    <row r="54" customFormat="false" ht="15" hidden="false" customHeight="true" outlineLevel="0" collapsed="false">
      <c r="A54" s="34" t="s">
        <v>134</v>
      </c>
      <c r="B54" s="34"/>
      <c r="C54" s="34"/>
      <c r="D54" s="34"/>
      <c r="E54" s="34"/>
    </row>
  </sheetData>
  <mergeCells count="22">
    <mergeCell ref="A1:E1"/>
    <mergeCell ref="A2:E2"/>
    <mergeCell ref="B4:E4"/>
    <mergeCell ref="B5:E5"/>
    <mergeCell ref="B6:E6"/>
    <mergeCell ref="B7:E7"/>
    <mergeCell ref="A10:E10"/>
    <mergeCell ref="B17:C17"/>
    <mergeCell ref="A19:E19"/>
    <mergeCell ref="B25:C25"/>
    <mergeCell ref="A27:E27"/>
    <mergeCell ref="B31:C31"/>
    <mergeCell ref="A33:E33"/>
    <mergeCell ref="B35:C35"/>
    <mergeCell ref="A37:E37"/>
    <mergeCell ref="B40:C40"/>
    <mergeCell ref="A48:E48"/>
    <mergeCell ref="B49:D49"/>
    <mergeCell ref="B50:D50"/>
    <mergeCell ref="B51:E51"/>
    <mergeCell ref="B52:E52"/>
    <mergeCell ref="A54:E54"/>
  </mergeCells>
  <dataValidations count="17">
    <dataValidation allowBlank="true" error="Please select a valid option for 1.1 Entity Type" errorStyle="stop" errorTitle="Invalid Selection" operator="between" prompt="Select 1.1 Entity Type" promptTitle="1.1 Entity Type" showDropDown="false" showErrorMessage="true" showInputMessage="true" sqref="B11" type="list">
      <formula1>'Score Reference'!$A$3:$A$14</formula1>
      <formula2>0</formula2>
    </dataValidation>
    <dataValidation allowBlank="true" error="Please select a valid option for 1.2 Ownership Structure" errorStyle="stop" errorTitle="Invalid Selection" operator="between" prompt="Select 1.2 Ownership Structure" promptTitle="1.2 Ownership Structure" showDropDown="false" showErrorMessage="true" showInputMessage="true" sqref="B12" type="list">
      <formula1>"Simple — direct identifiable UBOs,1–2 ownership layers,3+ ownership layers / nominee shareholders,Complex multi-jurisdiction / opaque structure"</formula1>
      <formula2>0</formula2>
    </dataValidation>
    <dataValidation allowBlank="true" error="Please select a valid option for 1.3 PEP Status" errorStyle="stop" errorTitle="Invalid Selection" operator="between" prompt="Select 1.3 PEP Status" promptTitle="1.3 PEP Status" showDropDown="false" showErrorMessage="true" showInputMessage="true" sqref="B13" type="list">
      <formula1>"No PEP connection,Close associate or family member of PEP,Domestic Politically Exposed Person (PEP),Foreign / International PEP"</formula1>
      <formula2>0</formula2>
    </dataValidation>
    <dataValidation allowBlank="true" error="Please select a valid option for 1.4 Adverse Media" errorStyle="stop" errorTitle="Invalid Selection" operator="between" prompt="Select 1.4 Adverse Media" promptTitle="1.4 Adverse Media" showDropDown="false" showErrorMessage="true" showInputMessage="true" sqref="B14" type="list">
      <formula1>"No adverse media identified,Minor or unsubstantiated reports,Confirmed adverse media / regulatory action"</formula1>
      <formula2>0</formula2>
    </dataValidation>
    <dataValidation allowBlank="true" error="Please select a valid option for 1.5 Source of Wealth" errorStyle="stop" errorTitle="Invalid Selection" operator="between" prompt="Select 1.5 Source of Wealth" promptTitle="1.5 Source of Wealth" showDropDown="false" showErrorMessage="true" showInputMessage="true" sqref="B15" type="list">
      <formula1>"Business revenue / trading profits,Investment returns / dividends,Sale of assets / property,Venture capital / investor funding,Government funding / grants,Inheritance / family wealth,Loan / credit facility proceeds,Other"</formula1>
      <formula2>0</formula2>
    </dataValidation>
    <dataValidation allowBlank="true" error="Please select a valid option for 1.6 Source of Funds" errorStyle="stop" errorTitle="Invalid Selection" operator="between" prompt="Select 1.6 Source of Funds" promptTitle="1.6 Source of Funds" showDropDown="false" showErrorMessage="true" showInputMessage="true" sqref="B16" type="list">
      <formula1>'Score Reference'!$A$152:$A$160</formula1>
      <formula2>0</formula2>
    </dataValidation>
    <dataValidation allowBlank="true" error="Please select a valid option for 2.1 Country of Incorporation" errorStyle="stop" errorTitle="Invalid Selection" operator="between" prompt="Select 2.1 Country of Incorporation" promptTitle="2.1 Country of Incorporation" showDropDown="false" showErrorMessage="true" showInputMessage="true" sqref="B20" type="list">
      <formula1>"FATF member — low risk jurisdiction,FATF member — standard / emerging jurisdiction,FATF Grey List country,FATF Black List / sanctioned country"</formula1>
      <formula2>0</formula2>
    </dataValidation>
    <dataValidation allowBlank="true" error="Please select a valid option for 2.2 UBO Nationalities" errorStyle="stop" errorTitle="Invalid Selection" operator="between" prompt="Select 2.2 UBO Nationalities" promptTitle="2.2 UBO Nationalities" showDropDown="false" showErrorMessage="true" showInputMessage="true" sqref="B21" type="list">
      <formula1>"All UBOs/directors from low-risk jurisdictions,Mix of low-risk and standard/emerging nationalities,Includes FATF Grey List / high-risk nationalities,Includes sanctioned / blacklisted nationalities"</formula1>
      <formula2>0</formula2>
    </dataValidation>
    <dataValidation allowBlank="true" error="Please select a valid option for 2.3 Intermediary Jurisdictions" errorStyle="stop" errorTitle="Invalid Selection" operator="between" prompt="Select 2.3 Intermediary Jurisdictions" promptTitle="2.3 Intermediary Jurisdictions" showDropDown="false" showErrorMessage="true" showInputMessage="true" sqref="B22" type="list">
      <formula1>"No intermediaries or all low-risk jurisdictions,Intermediaries in standard / emerging jurisdictions,Includes FATF Grey List / opaque jurisdictions,Includes sanctioned / secrecy jurisdictions"</formula1>
      <formula2>0</formula2>
    </dataValidation>
    <dataValidation allowBlank="true" error="Please select a valid option for 2.4 Countries of Operation" errorStyle="stop" errorTitle="Invalid Selection" operator="between" prompt="Select 2.4 Countries of Operation" promptTitle="2.4 Countries of Operation" showDropDown="false" showErrorMessage="true" showInputMessage="true" sqref="B23" type="list">
      <formula1>"All low-risk jurisdictions,Predominantly low-risk with some medium-risk jurisdictions,Includes high-risk jurisdictions,Predominantly high-risk or sanctioned jurisdictions"</formula1>
      <formula2>0</formula2>
    </dataValidation>
    <dataValidation allowBlank="true" error="Please select a valid option for 2.5 Target Markets" errorStyle="stop" errorTitle="Invalid Selection" operator="between" prompt="Select 2.5 Target Markets" promptTitle="2.5 Target Markets" showDropDown="false" showErrorMessage="true" showInputMessage="true" sqref="B24" type="list">
      <formula1>"Developed markets only,Mix of developed and emerging markets,Predominantly emerging / frontier markets,Includes sanctioned or very high-risk markets"</formula1>
      <formula2>0</formula2>
    </dataValidation>
    <dataValidation allowBlank="true" error="Please select a valid option for 3.1 Primary Service" errorStyle="stop" errorTitle="Invalid Selection" operator="between" prompt="Select 3.1 Primary Service" promptTitle="3.1 Primary Service" showDropDown="false" showErrorMessage="true" showInputMessage="true" sqref="B28" type="list">
      <formula1>"Domestic payments only (single currency),Multi-currency corporate accounts,Cross-border international transfers"</formula1>
      <formula2>0</formula2>
    </dataValidation>
    <dataValidation allowBlank="true" error="Please select a valid option for 3.2 Transaction Volume" errorStyle="stop" errorTitle="Invalid Selection" operator="between" prompt="Select 3.2 Transaction Volume" promptTitle="3.2 Transaction Volume" showDropDown="false" showErrorMessage="true" showInputMessage="true" sqref="B29" type="list">
      <formula1>"Under USD 50,000 per month,USD 50,000 to USD 500,000 per month,USD 500,000 to USD 5,000,000 per month,Over USD 5,000,000 per month"</formula1>
      <formula2>0</formula2>
    </dataValidation>
    <dataValidation allowBlank="true" error="Please select a valid option for 3.3 Transaction Complexity" errorStyle="stop" errorTitle="Invalid Selection" operator="between" prompt="Select 3.3 Transaction Complexity" promptTitle="3.3 Transaction Complexity" showDropDown="false" showErrorMessage="true" showInputMessage="true" sqref="B30" type="list">
      <formula1>"Simple — single currency,domestic corridors,Standard — multi-currency,low-risk corridors,Complex — multiple international corridors,Very complex — includes high-risk corridors"</formula1>
      <formula2>0</formula2>
    </dataValidation>
    <dataValidation allowBlank="true" error="Please select a valid option for 4.1 Business Sector" errorStyle="stop" errorTitle="Invalid Selection" operator="between" prompt="Select 4.1 Business Sector" promptTitle="4.1 Business Sector" showDropDown="false" showErrorMessage="true" showInputMessage="true" sqref="B34" type="list">
      <formula1>'Score Reference'!$A$93:$A$120</formula1>
      <formula2>0</formula2>
    </dataValidation>
    <dataValidation allowBlank="true" error="Please select a valid option for 5.1 Introduction Method" errorStyle="stop" errorTitle="Invalid Selection" operator="between" prompt="Select 5.1 Introduction Method" promptTitle="5.1 Introduction Method" showDropDown="false" showErrorMessage="true" showInputMessage="true" sqref="B38" type="list">
      <formula1>"Direct application — client initiated,Introduced by regulated intermediary / agent,Introduced by non-regulated intermediary,Unsolicited / unknown referral source"</formula1>
      <formula2>0</formula2>
    </dataValidation>
    <dataValidation allowBlank="true" error="Please select a valid option for 5.2 Customer Interaction" errorStyle="stop" errorTitle="Invalid Selection" operator="between" prompt="Select 5.2 Customer Interaction" promptTitle="5.2 Customer Interaction" showDropDown="false" showErrorMessage="true" showInputMessage="true" sqref="B39" type="list">
      <formula1>"In-person face-to-face meeting conducted,Video KYC / video call conducted,Non-face-to-face — low-risk jurisdiction,Non-face-to-face — high-risk jurisdiction"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6"/>
  <sheetViews>
    <sheetView showFormulas="false" showGridLines="true" showRowColHeaders="true" showZeros="true" rightToLeft="false" tabSelected="false" showOutlineSymbols="true" defaultGridColor="true" view="normal" topLeftCell="A81" colorId="64" zoomScale="100" zoomScaleNormal="100" zoomScalePageLayoutView="100" workbookViewId="0">
      <selection pane="topLeft" activeCell="B198" activeCellId="0" sqref="B198"/>
    </sheetView>
  </sheetViews>
  <sheetFormatPr defaultColWidth="8.66796875" defaultRowHeight="15" customHeight="true" zeroHeight="false" outlineLevelRow="0" outlineLevelCol="0"/>
  <cols>
    <col collapsed="false" customWidth="true" hidden="false" outlineLevel="0" max="1" min="1" style="1" width="52"/>
    <col collapsed="false" customWidth="true" hidden="false" outlineLevel="0" max="2" min="2" style="1" width="8"/>
    <col collapsed="false" customWidth="true" hidden="false" outlineLevel="0" max="3" min="3" style="1" width="16"/>
    <col collapsed="false" customWidth="true" hidden="false" outlineLevel="0" max="4" min="4" style="1" width="60"/>
  </cols>
  <sheetData>
    <row r="1" customFormat="false" ht="15.75" hidden="false" customHeight="true" outlineLevel="0" collapsed="false">
      <c r="A1" s="35" t="s">
        <v>135</v>
      </c>
      <c r="B1" s="35"/>
      <c r="C1" s="35"/>
    </row>
    <row r="2" customFormat="false" ht="15" hidden="false" customHeight="true" outlineLevel="0" collapsed="false">
      <c r="A2" s="17" t="s">
        <v>136</v>
      </c>
      <c r="B2" s="17"/>
      <c r="C2" s="17"/>
    </row>
    <row r="3" customFormat="false" ht="15" hidden="false" customHeight="true" outlineLevel="0" collapsed="false">
      <c r="A3" s="36" t="s">
        <v>137</v>
      </c>
      <c r="B3" s="37" t="n">
        <v>1</v>
      </c>
      <c r="C3" s="38" t="s">
        <v>138</v>
      </c>
    </row>
    <row r="4" customFormat="false" ht="15" hidden="false" customHeight="true" outlineLevel="0" collapsed="false">
      <c r="A4" s="39" t="s">
        <v>139</v>
      </c>
      <c r="B4" s="37" t="n">
        <v>1</v>
      </c>
      <c r="C4" s="38" t="s">
        <v>138</v>
      </c>
    </row>
    <row r="5" customFormat="false" ht="15" hidden="false" customHeight="true" outlineLevel="0" collapsed="false">
      <c r="A5" s="36" t="s">
        <v>140</v>
      </c>
      <c r="B5" s="37" t="n">
        <v>1</v>
      </c>
      <c r="C5" s="38" t="s">
        <v>138</v>
      </c>
    </row>
    <row r="6" customFormat="false" ht="15" hidden="false" customHeight="true" outlineLevel="0" collapsed="false">
      <c r="A6" s="39" t="s">
        <v>141</v>
      </c>
      <c r="B6" s="40" t="n">
        <v>2</v>
      </c>
      <c r="C6" s="41" t="s">
        <v>142</v>
      </c>
    </row>
    <row r="7" customFormat="false" ht="15" hidden="false" customHeight="true" outlineLevel="0" collapsed="false">
      <c r="A7" s="36" t="s">
        <v>143</v>
      </c>
      <c r="B7" s="40" t="n">
        <v>2</v>
      </c>
      <c r="C7" s="41" t="s">
        <v>142</v>
      </c>
    </row>
    <row r="8" customFormat="false" ht="15" hidden="false" customHeight="true" outlineLevel="0" collapsed="false">
      <c r="A8" s="39" t="s">
        <v>144</v>
      </c>
      <c r="B8" s="42" t="n">
        <v>3</v>
      </c>
      <c r="C8" s="43" t="s">
        <v>145</v>
      </c>
    </row>
    <row r="9" customFormat="false" ht="15" hidden="false" customHeight="true" outlineLevel="0" collapsed="false">
      <c r="A9" s="36" t="s">
        <v>146</v>
      </c>
      <c r="B9" s="42" t="n">
        <v>3</v>
      </c>
      <c r="C9" s="43" t="s">
        <v>145</v>
      </c>
    </row>
    <row r="10" customFormat="false" ht="15" hidden="false" customHeight="true" outlineLevel="0" collapsed="false">
      <c r="A10" s="39" t="s">
        <v>147</v>
      </c>
      <c r="B10" s="42" t="n">
        <v>3</v>
      </c>
      <c r="C10" s="43" t="s">
        <v>145</v>
      </c>
    </row>
    <row r="11" customFormat="false" ht="15" hidden="false" customHeight="true" outlineLevel="0" collapsed="false">
      <c r="A11" s="36" t="s">
        <v>148</v>
      </c>
      <c r="B11" s="40" t="n">
        <v>2</v>
      </c>
      <c r="C11" s="41" t="s">
        <v>142</v>
      </c>
    </row>
    <row r="12" customFormat="false" ht="15" hidden="false" customHeight="true" outlineLevel="0" collapsed="false">
      <c r="A12" s="39" t="s">
        <v>149</v>
      </c>
      <c r="B12" s="44" t="n">
        <v>4</v>
      </c>
      <c r="C12" s="45" t="s">
        <v>150</v>
      </c>
    </row>
    <row r="13" customFormat="false" ht="15" hidden="false" customHeight="true" outlineLevel="0" collapsed="false">
      <c r="A13" s="36" t="s">
        <v>151</v>
      </c>
      <c r="B13" s="42" t="n">
        <v>3</v>
      </c>
      <c r="C13" s="43" t="s">
        <v>145</v>
      </c>
    </row>
    <row r="14" customFormat="false" ht="15" hidden="false" customHeight="true" outlineLevel="0" collapsed="false">
      <c r="A14" s="39" t="s">
        <v>152</v>
      </c>
      <c r="B14" s="44" t="n">
        <v>4</v>
      </c>
      <c r="C14" s="45" t="s">
        <v>150</v>
      </c>
    </row>
    <row r="18" customFormat="false" ht="15" hidden="false" customHeight="true" outlineLevel="0" collapsed="false">
      <c r="A18" s="17" t="s">
        <v>153</v>
      </c>
      <c r="B18" s="17"/>
      <c r="C18" s="17"/>
    </row>
    <row r="19" customFormat="false" ht="15" hidden="false" customHeight="true" outlineLevel="0" collapsed="false">
      <c r="A19" s="36" t="s">
        <v>154</v>
      </c>
      <c r="B19" s="37" t="n">
        <v>1</v>
      </c>
      <c r="C19" s="38" t="s">
        <v>138</v>
      </c>
    </row>
    <row r="20" customFormat="false" ht="15" hidden="false" customHeight="true" outlineLevel="0" collapsed="false">
      <c r="A20" s="39" t="s">
        <v>155</v>
      </c>
      <c r="B20" s="40" t="n">
        <v>2</v>
      </c>
      <c r="C20" s="41" t="s">
        <v>142</v>
      </c>
    </row>
    <row r="21" customFormat="false" ht="15" hidden="false" customHeight="true" outlineLevel="0" collapsed="false">
      <c r="A21" s="36" t="s">
        <v>156</v>
      </c>
      <c r="B21" s="42" t="n">
        <v>3</v>
      </c>
      <c r="C21" s="43" t="s">
        <v>145</v>
      </c>
    </row>
    <row r="22" customFormat="false" ht="15" hidden="false" customHeight="true" outlineLevel="0" collapsed="false">
      <c r="A22" s="39" t="s">
        <v>157</v>
      </c>
      <c r="B22" s="44" t="n">
        <v>4</v>
      </c>
      <c r="C22" s="45" t="s">
        <v>150</v>
      </c>
    </row>
    <row r="26" customFormat="false" ht="15" hidden="false" customHeight="true" outlineLevel="0" collapsed="false">
      <c r="A26" s="17" t="s">
        <v>158</v>
      </c>
      <c r="B26" s="17"/>
      <c r="C26" s="17"/>
    </row>
    <row r="27" customFormat="false" ht="15" hidden="false" customHeight="true" outlineLevel="0" collapsed="false">
      <c r="A27" s="36" t="s">
        <v>159</v>
      </c>
      <c r="B27" s="37" t="n">
        <v>1</v>
      </c>
      <c r="C27" s="38" t="s">
        <v>138</v>
      </c>
    </row>
    <row r="28" customFormat="false" ht="15" hidden="false" customHeight="true" outlineLevel="0" collapsed="false">
      <c r="A28" s="39" t="s">
        <v>160</v>
      </c>
      <c r="B28" s="42" t="n">
        <v>3</v>
      </c>
      <c r="C28" s="43" t="s">
        <v>145</v>
      </c>
    </row>
    <row r="29" customFormat="false" ht="15" hidden="false" customHeight="true" outlineLevel="0" collapsed="false">
      <c r="A29" s="36" t="s">
        <v>161</v>
      </c>
      <c r="B29" s="42" t="n">
        <v>3</v>
      </c>
      <c r="C29" s="43" t="s">
        <v>145</v>
      </c>
    </row>
    <row r="30" customFormat="false" ht="15" hidden="false" customHeight="true" outlineLevel="0" collapsed="false">
      <c r="A30" s="39" t="s">
        <v>162</v>
      </c>
      <c r="B30" s="44" t="n">
        <v>4</v>
      </c>
      <c r="C30" s="45" t="s">
        <v>150</v>
      </c>
    </row>
    <row r="34" customFormat="false" ht="15" hidden="false" customHeight="true" outlineLevel="0" collapsed="false">
      <c r="A34" s="17" t="s">
        <v>163</v>
      </c>
      <c r="B34" s="17"/>
      <c r="C34" s="17"/>
    </row>
    <row r="35" customFormat="false" ht="15" hidden="false" customHeight="true" outlineLevel="0" collapsed="false">
      <c r="A35" s="36" t="s">
        <v>164</v>
      </c>
      <c r="B35" s="37" t="n">
        <v>1</v>
      </c>
      <c r="C35" s="38" t="s">
        <v>138</v>
      </c>
    </row>
    <row r="36" customFormat="false" ht="15" hidden="false" customHeight="true" outlineLevel="0" collapsed="false">
      <c r="A36" s="39" t="s">
        <v>165</v>
      </c>
      <c r="B36" s="40" t="n">
        <v>2</v>
      </c>
      <c r="C36" s="41" t="s">
        <v>142</v>
      </c>
    </row>
    <row r="37" customFormat="false" ht="15" hidden="false" customHeight="true" outlineLevel="0" collapsed="false">
      <c r="A37" s="36" t="s">
        <v>166</v>
      </c>
      <c r="B37" s="44" t="n">
        <v>4</v>
      </c>
      <c r="C37" s="45" t="s">
        <v>150</v>
      </c>
    </row>
    <row r="42" customFormat="false" ht="15" hidden="false" customHeight="true" outlineLevel="0" collapsed="false">
      <c r="A42" s="17" t="s">
        <v>167</v>
      </c>
      <c r="B42" s="17"/>
      <c r="C42" s="17"/>
    </row>
    <row r="43" customFormat="false" ht="15" hidden="false" customHeight="true" outlineLevel="0" collapsed="false">
      <c r="A43" s="36" t="s">
        <v>168</v>
      </c>
      <c r="B43" s="37" t="n">
        <v>1</v>
      </c>
      <c r="C43" s="38" t="s">
        <v>138</v>
      </c>
    </row>
    <row r="44" customFormat="false" ht="15" hidden="false" customHeight="true" outlineLevel="0" collapsed="false">
      <c r="A44" s="39" t="s">
        <v>169</v>
      </c>
      <c r="B44" s="40" t="n">
        <v>2</v>
      </c>
      <c r="C44" s="41" t="s">
        <v>142</v>
      </c>
    </row>
    <row r="45" customFormat="false" ht="15" hidden="false" customHeight="true" outlineLevel="0" collapsed="false">
      <c r="A45" s="36" t="s">
        <v>170</v>
      </c>
      <c r="B45" s="42" t="n">
        <v>3</v>
      </c>
      <c r="C45" s="43" t="s">
        <v>145</v>
      </c>
    </row>
    <row r="46" customFormat="false" ht="15" hidden="false" customHeight="true" outlineLevel="0" collapsed="false">
      <c r="A46" s="39" t="s">
        <v>171</v>
      </c>
      <c r="B46" s="44" t="n">
        <v>4</v>
      </c>
      <c r="C46" s="45" t="s">
        <v>150</v>
      </c>
    </row>
    <row r="50" customFormat="false" ht="15" hidden="false" customHeight="true" outlineLevel="0" collapsed="false">
      <c r="A50" s="17" t="s">
        <v>172</v>
      </c>
      <c r="B50" s="17"/>
      <c r="C50" s="17"/>
    </row>
    <row r="51" customFormat="false" ht="15" hidden="false" customHeight="true" outlineLevel="0" collapsed="false">
      <c r="A51" s="36" t="s">
        <v>173</v>
      </c>
      <c r="B51" s="37" t="n">
        <v>1</v>
      </c>
      <c r="C51" s="38" t="s">
        <v>138</v>
      </c>
    </row>
    <row r="52" customFormat="false" ht="15" hidden="false" customHeight="true" outlineLevel="0" collapsed="false">
      <c r="A52" s="39" t="s">
        <v>174</v>
      </c>
      <c r="B52" s="40" t="n">
        <v>2</v>
      </c>
      <c r="C52" s="41" t="s">
        <v>142</v>
      </c>
    </row>
    <row r="53" customFormat="false" ht="15" hidden="false" customHeight="true" outlineLevel="0" collapsed="false">
      <c r="A53" s="36" t="s">
        <v>175</v>
      </c>
      <c r="B53" s="42" t="n">
        <v>3</v>
      </c>
      <c r="C53" s="43" t="s">
        <v>145</v>
      </c>
    </row>
    <row r="54" customFormat="false" ht="15" hidden="false" customHeight="true" outlineLevel="0" collapsed="false">
      <c r="A54" s="39" t="s">
        <v>176</v>
      </c>
      <c r="B54" s="44" t="n">
        <v>4</v>
      </c>
      <c r="C54" s="45" t="s">
        <v>150</v>
      </c>
    </row>
    <row r="58" customFormat="false" ht="15" hidden="false" customHeight="true" outlineLevel="0" collapsed="false">
      <c r="A58" s="17" t="s">
        <v>177</v>
      </c>
      <c r="B58" s="17"/>
      <c r="C58" s="17"/>
    </row>
    <row r="59" customFormat="false" ht="15" hidden="false" customHeight="true" outlineLevel="0" collapsed="false">
      <c r="A59" s="36" t="s">
        <v>178</v>
      </c>
      <c r="B59" s="37" t="n">
        <v>1</v>
      </c>
      <c r="C59" s="38" t="s">
        <v>138</v>
      </c>
    </row>
    <row r="60" customFormat="false" ht="15" hidden="false" customHeight="true" outlineLevel="0" collapsed="false">
      <c r="A60" s="39" t="s">
        <v>179</v>
      </c>
      <c r="B60" s="40" t="n">
        <v>2</v>
      </c>
      <c r="C60" s="41" t="s">
        <v>142</v>
      </c>
    </row>
    <row r="61" customFormat="false" ht="15" hidden="false" customHeight="true" outlineLevel="0" collapsed="false">
      <c r="A61" s="36" t="s">
        <v>180</v>
      </c>
      <c r="B61" s="42" t="n">
        <v>3</v>
      </c>
      <c r="C61" s="43" t="s">
        <v>145</v>
      </c>
    </row>
    <row r="62" customFormat="false" ht="15" hidden="false" customHeight="true" outlineLevel="0" collapsed="false">
      <c r="A62" s="39" t="s">
        <v>181</v>
      </c>
      <c r="B62" s="44" t="n">
        <v>4</v>
      </c>
      <c r="C62" s="45" t="s">
        <v>150</v>
      </c>
    </row>
    <row r="67" customFormat="false" ht="15" hidden="false" customHeight="true" outlineLevel="0" collapsed="false">
      <c r="A67" s="17" t="s">
        <v>182</v>
      </c>
      <c r="B67" s="17"/>
      <c r="C67" s="17"/>
    </row>
    <row r="68" customFormat="false" ht="15" hidden="false" customHeight="true" outlineLevel="0" collapsed="false">
      <c r="A68" s="36" t="s">
        <v>116</v>
      </c>
      <c r="B68" s="37" t="n">
        <v>1</v>
      </c>
      <c r="C68" s="38" t="s">
        <v>138</v>
      </c>
    </row>
    <row r="69" customFormat="false" ht="15" hidden="false" customHeight="true" outlineLevel="0" collapsed="false">
      <c r="A69" s="39" t="s">
        <v>183</v>
      </c>
      <c r="B69" s="40" t="n">
        <v>2</v>
      </c>
      <c r="C69" s="41" t="s">
        <v>142</v>
      </c>
    </row>
    <row r="70" customFormat="false" ht="15" hidden="false" customHeight="true" outlineLevel="0" collapsed="false">
      <c r="A70" s="36" t="s">
        <v>184</v>
      </c>
      <c r="B70" s="42" t="n">
        <v>3</v>
      </c>
      <c r="C70" s="43" t="s">
        <v>145</v>
      </c>
    </row>
    <row r="75" customFormat="false" ht="15" hidden="false" customHeight="true" outlineLevel="0" collapsed="false">
      <c r="A75" s="17" t="s">
        <v>185</v>
      </c>
      <c r="B75" s="17"/>
      <c r="C75" s="17"/>
    </row>
    <row r="76" customFormat="false" ht="15" hidden="false" customHeight="true" outlineLevel="0" collapsed="false">
      <c r="A76" s="36" t="s">
        <v>186</v>
      </c>
      <c r="B76" s="37" t="n">
        <v>1</v>
      </c>
      <c r="C76" s="38" t="s">
        <v>138</v>
      </c>
    </row>
    <row r="77" customFormat="false" ht="15" hidden="false" customHeight="true" outlineLevel="0" collapsed="false">
      <c r="A77" s="39" t="s">
        <v>187</v>
      </c>
      <c r="B77" s="40" t="n">
        <v>2</v>
      </c>
      <c r="C77" s="41" t="s">
        <v>142</v>
      </c>
    </row>
    <row r="78" customFormat="false" ht="15" hidden="false" customHeight="true" outlineLevel="0" collapsed="false">
      <c r="A78" s="36" t="s">
        <v>188</v>
      </c>
      <c r="B78" s="42" t="n">
        <v>3</v>
      </c>
      <c r="C78" s="43" t="s">
        <v>145</v>
      </c>
    </row>
    <row r="79" customFormat="false" ht="15" hidden="false" customHeight="true" outlineLevel="0" collapsed="false">
      <c r="A79" s="39" t="s">
        <v>189</v>
      </c>
      <c r="B79" s="44" t="n">
        <v>4</v>
      </c>
      <c r="C79" s="45" t="s">
        <v>150</v>
      </c>
    </row>
    <row r="83" customFormat="false" ht="15" hidden="false" customHeight="true" outlineLevel="0" collapsed="false">
      <c r="A83" s="17" t="s">
        <v>190</v>
      </c>
      <c r="B83" s="17"/>
      <c r="C83" s="17"/>
    </row>
    <row r="84" customFormat="false" ht="15" hidden="false" customHeight="true" outlineLevel="0" collapsed="false">
      <c r="A84" s="36" t="s">
        <v>191</v>
      </c>
      <c r="B84" s="37" t="n">
        <v>1</v>
      </c>
      <c r="C84" s="38" t="s">
        <v>138</v>
      </c>
    </row>
    <row r="85" customFormat="false" ht="15" hidden="false" customHeight="true" outlineLevel="0" collapsed="false">
      <c r="A85" s="39" t="s">
        <v>192</v>
      </c>
      <c r="B85" s="40" t="n">
        <v>2</v>
      </c>
      <c r="C85" s="41" t="s">
        <v>142</v>
      </c>
    </row>
    <row r="86" customFormat="false" ht="15" hidden="false" customHeight="true" outlineLevel="0" collapsed="false">
      <c r="A86" s="36" t="s">
        <v>193</v>
      </c>
      <c r="B86" s="42" t="n">
        <v>3</v>
      </c>
      <c r="C86" s="43" t="s">
        <v>145</v>
      </c>
    </row>
    <row r="87" customFormat="false" ht="15" hidden="false" customHeight="true" outlineLevel="0" collapsed="false">
      <c r="A87" s="39" t="s">
        <v>194</v>
      </c>
      <c r="B87" s="44" t="n">
        <v>4</v>
      </c>
      <c r="C87" s="45" t="s">
        <v>150</v>
      </c>
    </row>
    <row r="92" customFormat="false" ht="15" hidden="false" customHeight="true" outlineLevel="0" collapsed="false">
      <c r="A92" s="17" t="s">
        <v>195</v>
      </c>
      <c r="B92" s="17"/>
      <c r="C92" s="17"/>
    </row>
    <row r="93" customFormat="false" ht="15" hidden="false" customHeight="true" outlineLevel="0" collapsed="false">
      <c r="A93" s="36" t="s">
        <v>196</v>
      </c>
      <c r="B93" s="37" t="n">
        <v>1</v>
      </c>
      <c r="C93" s="38" t="s">
        <v>138</v>
      </c>
    </row>
    <row r="94" customFormat="false" ht="15" hidden="false" customHeight="true" outlineLevel="0" collapsed="false">
      <c r="A94" s="39" t="s">
        <v>197</v>
      </c>
      <c r="B94" s="37" t="n">
        <v>1</v>
      </c>
      <c r="C94" s="38" t="s">
        <v>138</v>
      </c>
    </row>
    <row r="95" customFormat="false" ht="15" hidden="false" customHeight="true" outlineLevel="0" collapsed="false">
      <c r="A95" s="36" t="s">
        <v>198</v>
      </c>
      <c r="B95" s="37" t="n">
        <v>1</v>
      </c>
      <c r="C95" s="38" t="s">
        <v>138</v>
      </c>
    </row>
    <row r="96" customFormat="false" ht="15" hidden="false" customHeight="true" outlineLevel="0" collapsed="false">
      <c r="A96" s="39" t="s">
        <v>199</v>
      </c>
      <c r="B96" s="40" t="n">
        <v>2</v>
      </c>
      <c r="C96" s="41" t="s">
        <v>142</v>
      </c>
    </row>
    <row r="97" customFormat="false" ht="15" hidden="false" customHeight="true" outlineLevel="0" collapsed="false">
      <c r="A97" s="36" t="s">
        <v>200</v>
      </c>
      <c r="B97" s="40" t="n">
        <v>2</v>
      </c>
      <c r="C97" s="41" t="s">
        <v>142</v>
      </c>
    </row>
    <row r="98" customFormat="false" ht="15" hidden="false" customHeight="true" outlineLevel="0" collapsed="false">
      <c r="A98" s="39" t="s">
        <v>201</v>
      </c>
      <c r="B98" s="40" t="n">
        <v>2</v>
      </c>
      <c r="C98" s="41" t="s">
        <v>142</v>
      </c>
    </row>
    <row r="99" customFormat="false" ht="15" hidden="false" customHeight="true" outlineLevel="0" collapsed="false">
      <c r="A99" s="36" t="s">
        <v>202</v>
      </c>
      <c r="B99" s="40" t="n">
        <v>2</v>
      </c>
      <c r="C99" s="41" t="s">
        <v>142</v>
      </c>
    </row>
    <row r="100" customFormat="false" ht="15" hidden="false" customHeight="true" outlineLevel="0" collapsed="false">
      <c r="A100" s="39" t="s">
        <v>203</v>
      </c>
      <c r="B100" s="40" t="n">
        <v>2</v>
      </c>
      <c r="C100" s="41" t="s">
        <v>142</v>
      </c>
    </row>
    <row r="101" customFormat="false" ht="15" hidden="false" customHeight="true" outlineLevel="0" collapsed="false">
      <c r="A101" s="36" t="s">
        <v>204</v>
      </c>
      <c r="B101" s="40" t="n">
        <v>2</v>
      </c>
      <c r="C101" s="41" t="s">
        <v>142</v>
      </c>
    </row>
    <row r="102" customFormat="false" ht="15" hidden="false" customHeight="true" outlineLevel="0" collapsed="false">
      <c r="A102" s="39" t="s">
        <v>205</v>
      </c>
      <c r="B102" s="40" t="n">
        <v>2</v>
      </c>
      <c r="C102" s="41" t="s">
        <v>142</v>
      </c>
    </row>
    <row r="103" customFormat="false" ht="15" hidden="false" customHeight="true" outlineLevel="0" collapsed="false">
      <c r="A103" s="36" t="s">
        <v>206</v>
      </c>
      <c r="B103" s="40" t="n">
        <v>2</v>
      </c>
      <c r="C103" s="41" t="s">
        <v>142</v>
      </c>
    </row>
    <row r="104" customFormat="false" ht="15" hidden="false" customHeight="true" outlineLevel="0" collapsed="false">
      <c r="A104" s="39" t="s">
        <v>207</v>
      </c>
      <c r="B104" s="42" t="n">
        <v>3</v>
      </c>
      <c r="C104" s="43" t="s">
        <v>145</v>
      </c>
    </row>
    <row r="105" customFormat="false" ht="15" hidden="false" customHeight="true" outlineLevel="0" collapsed="false">
      <c r="A105" s="36" t="s">
        <v>208</v>
      </c>
      <c r="B105" s="42" t="n">
        <v>3</v>
      </c>
      <c r="C105" s="43" t="s">
        <v>145</v>
      </c>
    </row>
    <row r="106" customFormat="false" ht="15" hidden="false" customHeight="true" outlineLevel="0" collapsed="false">
      <c r="A106" s="39" t="s">
        <v>209</v>
      </c>
      <c r="B106" s="42" t="n">
        <v>3</v>
      </c>
      <c r="C106" s="43" t="s">
        <v>145</v>
      </c>
    </row>
    <row r="107" customFormat="false" ht="15" hidden="false" customHeight="true" outlineLevel="0" collapsed="false">
      <c r="A107" s="36" t="s">
        <v>210</v>
      </c>
      <c r="B107" s="42" t="n">
        <v>3</v>
      </c>
      <c r="C107" s="43" t="s">
        <v>145</v>
      </c>
    </row>
    <row r="108" customFormat="false" ht="15" hidden="false" customHeight="true" outlineLevel="0" collapsed="false">
      <c r="A108" s="39" t="s">
        <v>211</v>
      </c>
      <c r="B108" s="42" t="n">
        <v>3</v>
      </c>
      <c r="C108" s="43" t="s">
        <v>145</v>
      </c>
    </row>
    <row r="109" customFormat="false" ht="15" hidden="false" customHeight="true" outlineLevel="0" collapsed="false">
      <c r="A109" s="36" t="s">
        <v>212</v>
      </c>
      <c r="B109" s="42" t="n">
        <v>3</v>
      </c>
      <c r="C109" s="43" t="s">
        <v>145</v>
      </c>
    </row>
    <row r="110" customFormat="false" ht="15" hidden="false" customHeight="true" outlineLevel="0" collapsed="false">
      <c r="A110" s="39" t="s">
        <v>213</v>
      </c>
      <c r="B110" s="42" t="n">
        <v>3</v>
      </c>
      <c r="C110" s="43" t="s">
        <v>145</v>
      </c>
    </row>
    <row r="111" customFormat="false" ht="15" hidden="false" customHeight="true" outlineLevel="0" collapsed="false">
      <c r="A111" s="36" t="s">
        <v>214</v>
      </c>
      <c r="B111" s="42" t="n">
        <v>3</v>
      </c>
      <c r="C111" s="43" t="s">
        <v>145</v>
      </c>
    </row>
    <row r="112" customFormat="false" ht="15" hidden="false" customHeight="true" outlineLevel="0" collapsed="false">
      <c r="A112" s="39" t="s">
        <v>215</v>
      </c>
      <c r="B112" s="42" t="n">
        <v>3</v>
      </c>
      <c r="C112" s="43" t="s">
        <v>145</v>
      </c>
    </row>
    <row r="113" customFormat="false" ht="15" hidden="false" customHeight="true" outlineLevel="0" collapsed="false">
      <c r="A113" s="36" t="s">
        <v>216</v>
      </c>
      <c r="B113" s="42" t="n">
        <v>3</v>
      </c>
      <c r="C113" s="43" t="s">
        <v>145</v>
      </c>
    </row>
    <row r="114" customFormat="false" ht="15" hidden="false" customHeight="true" outlineLevel="0" collapsed="false">
      <c r="A114" s="39" t="s">
        <v>217</v>
      </c>
      <c r="B114" s="42" t="n">
        <v>3</v>
      </c>
      <c r="C114" s="43" t="s">
        <v>145</v>
      </c>
    </row>
    <row r="115" customFormat="false" ht="15" hidden="false" customHeight="true" outlineLevel="0" collapsed="false">
      <c r="A115" s="36" t="s">
        <v>218</v>
      </c>
      <c r="B115" s="42" t="n">
        <v>3</v>
      </c>
      <c r="C115" s="43" t="s">
        <v>145</v>
      </c>
    </row>
    <row r="116" customFormat="false" ht="15" hidden="false" customHeight="true" outlineLevel="0" collapsed="false">
      <c r="A116" s="39" t="s">
        <v>219</v>
      </c>
      <c r="B116" s="44" t="n">
        <v>4</v>
      </c>
      <c r="C116" s="45" t="s">
        <v>150</v>
      </c>
    </row>
    <row r="117" customFormat="false" ht="15" hidden="false" customHeight="true" outlineLevel="0" collapsed="false">
      <c r="A117" s="36" t="s">
        <v>220</v>
      </c>
      <c r="B117" s="44" t="n">
        <v>4</v>
      </c>
      <c r="C117" s="45" t="s">
        <v>150</v>
      </c>
    </row>
    <row r="118" customFormat="false" ht="15" hidden="false" customHeight="true" outlineLevel="0" collapsed="false">
      <c r="A118" s="39" t="s">
        <v>221</v>
      </c>
      <c r="B118" s="44" t="n">
        <v>4</v>
      </c>
      <c r="C118" s="45" t="s">
        <v>150</v>
      </c>
    </row>
    <row r="119" customFormat="false" ht="15" hidden="false" customHeight="true" outlineLevel="0" collapsed="false">
      <c r="A119" s="36" t="s">
        <v>222</v>
      </c>
      <c r="B119" s="44" t="n">
        <v>4</v>
      </c>
      <c r="C119" s="45" t="s">
        <v>150</v>
      </c>
    </row>
    <row r="120" customFormat="false" ht="15" hidden="false" customHeight="true" outlineLevel="0" collapsed="false">
      <c r="A120" s="39" t="s">
        <v>223</v>
      </c>
      <c r="B120" s="44" t="n">
        <v>4</v>
      </c>
      <c r="C120" s="45" t="s">
        <v>150</v>
      </c>
    </row>
    <row r="124" customFormat="false" ht="15" hidden="false" customHeight="true" outlineLevel="0" collapsed="false">
      <c r="A124" s="17" t="s">
        <v>224</v>
      </c>
      <c r="B124" s="17"/>
      <c r="C124" s="17"/>
    </row>
    <row r="125" customFormat="false" ht="15" hidden="false" customHeight="true" outlineLevel="0" collapsed="false">
      <c r="A125" s="36" t="s">
        <v>225</v>
      </c>
      <c r="B125" s="37" t="n">
        <v>1</v>
      </c>
      <c r="C125" s="38" t="s">
        <v>138</v>
      </c>
    </row>
    <row r="126" customFormat="false" ht="15" hidden="false" customHeight="true" outlineLevel="0" collapsed="false">
      <c r="A126" s="39" t="s">
        <v>226</v>
      </c>
      <c r="B126" s="37" t="n">
        <v>1</v>
      </c>
      <c r="C126" s="38" t="s">
        <v>138</v>
      </c>
    </row>
    <row r="127" customFormat="false" ht="15" hidden="false" customHeight="true" outlineLevel="0" collapsed="false">
      <c r="A127" s="36" t="s">
        <v>227</v>
      </c>
      <c r="B127" s="42" t="n">
        <v>3</v>
      </c>
      <c r="C127" s="43" t="s">
        <v>145</v>
      </c>
    </row>
    <row r="128" customFormat="false" ht="15" hidden="false" customHeight="true" outlineLevel="0" collapsed="false">
      <c r="A128" s="39" t="s">
        <v>228</v>
      </c>
      <c r="B128" s="44" t="n">
        <v>4</v>
      </c>
      <c r="C128" s="45" t="s">
        <v>150</v>
      </c>
    </row>
    <row r="132" customFormat="false" ht="15" hidden="false" customHeight="true" outlineLevel="0" collapsed="false">
      <c r="A132" s="17" t="s">
        <v>229</v>
      </c>
      <c r="B132" s="17"/>
      <c r="C132" s="17"/>
    </row>
    <row r="133" customFormat="false" ht="15" hidden="false" customHeight="true" outlineLevel="0" collapsed="false">
      <c r="A133" s="36" t="s">
        <v>230</v>
      </c>
      <c r="B133" s="37" t="n">
        <v>1</v>
      </c>
      <c r="C133" s="38" t="s">
        <v>138</v>
      </c>
    </row>
    <row r="134" customFormat="false" ht="15" hidden="false" customHeight="true" outlineLevel="0" collapsed="false">
      <c r="A134" s="39" t="s">
        <v>231</v>
      </c>
      <c r="B134" s="40" t="n">
        <v>2</v>
      </c>
      <c r="C134" s="41" t="s">
        <v>142</v>
      </c>
    </row>
    <row r="135" customFormat="false" ht="15" hidden="false" customHeight="true" outlineLevel="0" collapsed="false">
      <c r="A135" s="36" t="s">
        <v>232</v>
      </c>
      <c r="B135" s="40" t="n">
        <v>2</v>
      </c>
      <c r="C135" s="41" t="s">
        <v>142</v>
      </c>
    </row>
    <row r="136" customFormat="false" ht="15" hidden="false" customHeight="true" outlineLevel="0" collapsed="false">
      <c r="A136" s="39" t="s">
        <v>233</v>
      </c>
      <c r="B136" s="42" t="n">
        <v>3</v>
      </c>
      <c r="C136" s="43" t="s">
        <v>145</v>
      </c>
    </row>
    <row r="140" customFormat="false" ht="15" hidden="false" customHeight="true" outlineLevel="0" collapsed="false">
      <c r="A140" s="17" t="s">
        <v>234</v>
      </c>
      <c r="B140" s="17"/>
      <c r="C140" s="17"/>
    </row>
    <row r="141" customFormat="false" ht="15" hidden="false" customHeight="true" outlineLevel="0" collapsed="false">
      <c r="A141" s="36" t="s">
        <v>235</v>
      </c>
      <c r="B141" s="37" t="n">
        <v>1</v>
      </c>
      <c r="C141" s="38" t="s">
        <v>138</v>
      </c>
    </row>
    <row r="142" customFormat="false" ht="15" hidden="false" customHeight="true" outlineLevel="0" collapsed="false">
      <c r="A142" s="39" t="s">
        <v>236</v>
      </c>
      <c r="B142" s="37" t="n">
        <v>1</v>
      </c>
      <c r="C142" s="38" t="s">
        <v>138</v>
      </c>
    </row>
    <row r="143" customFormat="false" ht="15" hidden="false" customHeight="true" outlineLevel="0" collapsed="false">
      <c r="A143" s="36" t="s">
        <v>237</v>
      </c>
      <c r="B143" s="40" t="n">
        <v>2</v>
      </c>
      <c r="C143" s="41" t="s">
        <v>142</v>
      </c>
    </row>
    <row r="144" customFormat="false" ht="15" hidden="false" customHeight="true" outlineLevel="0" collapsed="false">
      <c r="A144" s="39" t="s">
        <v>238</v>
      </c>
      <c r="B144" s="40" t="n">
        <v>2</v>
      </c>
      <c r="C144" s="41" t="s">
        <v>142</v>
      </c>
    </row>
    <row r="145" customFormat="false" ht="15" hidden="false" customHeight="true" outlineLevel="0" collapsed="false">
      <c r="A145" s="36" t="s">
        <v>239</v>
      </c>
      <c r="B145" s="37" t="n">
        <v>1</v>
      </c>
      <c r="C145" s="38" t="s">
        <v>138</v>
      </c>
    </row>
    <row r="146" customFormat="false" ht="15" hidden="false" customHeight="true" outlineLevel="0" collapsed="false">
      <c r="A146" s="39" t="s">
        <v>240</v>
      </c>
      <c r="B146" s="42" t="n">
        <v>3</v>
      </c>
      <c r="C146" s="43" t="s">
        <v>145</v>
      </c>
    </row>
    <row r="147" customFormat="false" ht="15" hidden="false" customHeight="true" outlineLevel="0" collapsed="false">
      <c r="A147" s="36" t="s">
        <v>241</v>
      </c>
      <c r="B147" s="42" t="n">
        <v>3</v>
      </c>
      <c r="C147" s="43" t="s">
        <v>145</v>
      </c>
    </row>
    <row r="148" customFormat="false" ht="15" hidden="false" customHeight="true" outlineLevel="0" collapsed="false">
      <c r="A148" s="39" t="s">
        <v>242</v>
      </c>
      <c r="B148" s="42" t="n">
        <v>3</v>
      </c>
      <c r="C148" s="43" t="s">
        <v>145</v>
      </c>
    </row>
    <row r="151" customFormat="false" ht="15" hidden="false" customHeight="true" outlineLevel="0" collapsed="false">
      <c r="A151" s="17" t="s">
        <v>243</v>
      </c>
      <c r="B151" s="17"/>
      <c r="C151" s="17"/>
    </row>
    <row r="152" customFormat="false" ht="15" hidden="false" customHeight="true" outlineLevel="0" collapsed="false">
      <c r="A152" s="36" t="s">
        <v>244</v>
      </c>
      <c r="B152" s="37" t="n">
        <v>1</v>
      </c>
      <c r="C152" s="38" t="s">
        <v>138</v>
      </c>
    </row>
    <row r="153" customFormat="false" ht="15" hidden="false" customHeight="true" outlineLevel="0" collapsed="false">
      <c r="A153" s="39" t="s">
        <v>245</v>
      </c>
      <c r="B153" s="37" t="n">
        <v>1</v>
      </c>
      <c r="C153" s="38" t="s">
        <v>138</v>
      </c>
    </row>
    <row r="154" customFormat="false" ht="15" hidden="false" customHeight="true" outlineLevel="0" collapsed="false">
      <c r="A154" s="36" t="s">
        <v>246</v>
      </c>
      <c r="B154" s="37" t="n">
        <v>1</v>
      </c>
      <c r="C154" s="38" t="s">
        <v>138</v>
      </c>
    </row>
    <row r="155" customFormat="false" ht="15" hidden="false" customHeight="true" outlineLevel="0" collapsed="false">
      <c r="A155" s="39" t="s">
        <v>247</v>
      </c>
      <c r="B155" s="37" t="n">
        <v>1</v>
      </c>
      <c r="C155" s="38" t="s">
        <v>138</v>
      </c>
    </row>
    <row r="156" customFormat="false" ht="15" hidden="false" customHeight="true" outlineLevel="0" collapsed="false">
      <c r="A156" s="36" t="s">
        <v>248</v>
      </c>
      <c r="B156" s="40" t="n">
        <v>2</v>
      </c>
      <c r="C156" s="41" t="s">
        <v>142</v>
      </c>
    </row>
    <row r="157" customFormat="false" ht="15" hidden="false" customHeight="true" outlineLevel="0" collapsed="false">
      <c r="A157" s="39" t="s">
        <v>249</v>
      </c>
      <c r="B157" s="40" t="n">
        <v>2</v>
      </c>
      <c r="C157" s="41" t="s">
        <v>142</v>
      </c>
    </row>
    <row r="158" customFormat="false" ht="15" hidden="false" customHeight="true" outlineLevel="0" collapsed="false">
      <c r="A158" s="36" t="s">
        <v>250</v>
      </c>
      <c r="B158" s="42" t="n">
        <v>3</v>
      </c>
      <c r="C158" s="43" t="s">
        <v>145</v>
      </c>
    </row>
    <row r="159" customFormat="false" ht="15" hidden="false" customHeight="true" outlineLevel="0" collapsed="false">
      <c r="A159" s="39" t="s">
        <v>237</v>
      </c>
      <c r="B159" s="40" t="n">
        <v>2</v>
      </c>
      <c r="C159" s="41" t="s">
        <v>142</v>
      </c>
    </row>
    <row r="160" customFormat="false" ht="15" hidden="false" customHeight="true" outlineLevel="0" collapsed="false">
      <c r="A160" s="36" t="s">
        <v>242</v>
      </c>
      <c r="B160" s="42" t="n">
        <v>3</v>
      </c>
      <c r="C160" s="43" t="s">
        <v>145</v>
      </c>
    </row>
    <row r="164" customFormat="false" ht="15" hidden="false" customHeight="true" outlineLevel="0" collapsed="false">
      <c r="A164" s="17" t="s">
        <v>251</v>
      </c>
      <c r="B164" s="17"/>
      <c r="C164" s="17"/>
    </row>
    <row r="166" customFormat="false" ht="15" hidden="false" customHeight="true" outlineLevel="0" collapsed="false">
      <c r="A166" s="17" t="s">
        <v>252</v>
      </c>
      <c r="B166" s="17"/>
      <c r="C166" s="17"/>
    </row>
    <row r="167" customFormat="false" ht="15" hidden="false" customHeight="true" outlineLevel="0" collapsed="false">
      <c r="A167" s="46" t="s">
        <v>253</v>
      </c>
      <c r="B167" s="47" t="s">
        <v>254</v>
      </c>
      <c r="C167" s="47"/>
      <c r="D167" s="47"/>
    </row>
    <row r="169" customFormat="false" ht="21.75" hidden="false" customHeight="true" outlineLevel="0" collapsed="false">
      <c r="A169" s="46" t="s">
        <v>255</v>
      </c>
      <c r="B169" s="47" t="s">
        <v>256</v>
      </c>
      <c r="C169" s="47"/>
      <c r="D169" s="47"/>
    </row>
    <row r="171" customFormat="false" ht="21.75" hidden="false" customHeight="true" outlineLevel="0" collapsed="false">
      <c r="A171" s="46" t="s">
        <v>257</v>
      </c>
      <c r="B171" s="47" t="s">
        <v>258</v>
      </c>
      <c r="C171" s="47"/>
      <c r="D171" s="47"/>
    </row>
    <row r="173" customFormat="false" ht="21.75" hidden="false" customHeight="true" outlineLevel="0" collapsed="false">
      <c r="A173" s="46" t="s">
        <v>259</v>
      </c>
      <c r="B173" s="47" t="s">
        <v>260</v>
      </c>
      <c r="C173" s="47"/>
      <c r="D173" s="47"/>
    </row>
    <row r="176" customFormat="false" ht="15" hidden="false" customHeight="true" outlineLevel="0" collapsed="false">
      <c r="A176" s="17" t="s">
        <v>261</v>
      </c>
      <c r="B176" s="17"/>
      <c r="C176" s="17"/>
    </row>
    <row r="177" customFormat="false" ht="21.75" hidden="false" customHeight="true" outlineLevel="0" collapsed="false">
      <c r="A177" s="46" t="s">
        <v>262</v>
      </c>
      <c r="B177" s="47" t="s">
        <v>263</v>
      </c>
      <c r="C177" s="47"/>
      <c r="D177" s="47"/>
    </row>
    <row r="179" customFormat="false" ht="21.75" hidden="false" customHeight="true" outlineLevel="0" collapsed="false">
      <c r="A179" s="46" t="s">
        <v>264</v>
      </c>
      <c r="B179" s="47" t="s">
        <v>265</v>
      </c>
      <c r="C179" s="47"/>
      <c r="D179" s="47"/>
    </row>
    <row r="181" customFormat="false" ht="21.75" hidden="false" customHeight="true" outlineLevel="0" collapsed="false">
      <c r="A181" s="46" t="s">
        <v>266</v>
      </c>
      <c r="B181" s="47" t="s">
        <v>267</v>
      </c>
      <c r="C181" s="47"/>
      <c r="D181" s="47"/>
    </row>
    <row r="183" customFormat="false" ht="15" hidden="false" customHeight="true" outlineLevel="0" collapsed="false">
      <c r="A183" s="46" t="s">
        <v>268</v>
      </c>
      <c r="B183" s="47" t="s">
        <v>269</v>
      </c>
      <c r="C183" s="47"/>
      <c r="D183" s="47"/>
    </row>
    <row r="186" customFormat="false" ht="15" hidden="false" customHeight="true" outlineLevel="0" collapsed="false">
      <c r="A186" s="17" t="s">
        <v>270</v>
      </c>
      <c r="B186" s="17"/>
      <c r="C186" s="17"/>
    </row>
    <row r="187" customFormat="false" ht="21.75" hidden="false" customHeight="true" outlineLevel="0" collapsed="false">
      <c r="A187" s="47" t="s">
        <v>271</v>
      </c>
      <c r="B187" s="47"/>
      <c r="C187" s="47"/>
      <c r="D187" s="47"/>
    </row>
    <row r="189" customFormat="false" ht="15" hidden="false" customHeight="true" outlineLevel="0" collapsed="false">
      <c r="A189" s="17" t="s">
        <v>272</v>
      </c>
      <c r="B189" s="17"/>
      <c r="C189" s="17"/>
    </row>
    <row r="191" customFormat="false" ht="15" hidden="false" customHeight="true" outlineLevel="0" collapsed="false">
      <c r="A191" s="46" t="s">
        <v>273</v>
      </c>
    </row>
    <row r="194" customFormat="false" ht="15" hidden="false" customHeight="true" outlineLevel="0" collapsed="false">
      <c r="A194" s="46" t="s">
        <v>274</v>
      </c>
    </row>
    <row r="195" customFormat="false" ht="15" hidden="false" customHeight="true" outlineLevel="0" collapsed="false">
      <c r="B195" s="47" t="s">
        <v>275</v>
      </c>
      <c r="C195" s="47"/>
      <c r="D195" s="47"/>
    </row>
    <row r="197" customFormat="false" ht="15" hidden="false" customHeight="true" outlineLevel="0" collapsed="false">
      <c r="A197" s="46" t="s">
        <v>276</v>
      </c>
    </row>
    <row r="198" customFormat="false" ht="21.75" hidden="false" customHeight="true" outlineLevel="0" collapsed="false">
      <c r="B198" s="47" t="s">
        <v>277</v>
      </c>
      <c r="C198" s="47"/>
      <c r="D198" s="47"/>
    </row>
    <row r="203" customFormat="false" ht="15" hidden="false" customHeight="true" outlineLevel="0" collapsed="false">
      <c r="A203" s="17" t="s">
        <v>278</v>
      </c>
      <c r="B203" s="17"/>
      <c r="C203" s="17"/>
    </row>
    <row r="204" customFormat="false" ht="21.75" hidden="false" customHeight="true" outlineLevel="0" collapsed="false">
      <c r="A204" s="47" t="s">
        <v>279</v>
      </c>
      <c r="B204" s="47"/>
      <c r="C204" s="47"/>
      <c r="D204" s="47"/>
    </row>
    <row r="205" customFormat="false" ht="15" hidden="false" customHeight="true" outlineLevel="0" collapsed="false">
      <c r="A205" s="36" t="s">
        <v>280</v>
      </c>
      <c r="B205" s="37" t="n">
        <v>1</v>
      </c>
      <c r="C205" s="38" t="s">
        <v>138</v>
      </c>
    </row>
    <row r="206" customFormat="false" ht="15" hidden="false" customHeight="true" outlineLevel="0" collapsed="false">
      <c r="A206" s="39" t="s">
        <v>281</v>
      </c>
      <c r="B206" s="40" t="n">
        <v>2</v>
      </c>
      <c r="C206" s="41" t="s">
        <v>142</v>
      </c>
    </row>
    <row r="207" customFormat="false" ht="15" hidden="false" customHeight="true" outlineLevel="0" collapsed="false">
      <c r="A207" s="36" t="s">
        <v>282</v>
      </c>
      <c r="B207" s="42" t="n">
        <v>3</v>
      </c>
      <c r="C207" s="43" t="s">
        <v>145</v>
      </c>
    </row>
    <row r="208" customFormat="false" ht="15" hidden="false" customHeight="true" outlineLevel="0" collapsed="false">
      <c r="A208" s="39" t="s">
        <v>283</v>
      </c>
      <c r="B208" s="44" t="n">
        <v>4</v>
      </c>
      <c r="C208" s="45" t="s">
        <v>150</v>
      </c>
    </row>
    <row r="211" customFormat="false" ht="15" hidden="false" customHeight="true" outlineLevel="0" collapsed="false">
      <c r="A211" s="17" t="s">
        <v>284</v>
      </c>
      <c r="B211" s="17"/>
      <c r="C211" s="17"/>
    </row>
    <row r="212" customFormat="false" ht="21.75" hidden="false" customHeight="true" outlineLevel="0" collapsed="false">
      <c r="A212" s="47" t="s">
        <v>285</v>
      </c>
      <c r="B212" s="47"/>
      <c r="C212" s="47"/>
      <c r="D212" s="47"/>
    </row>
    <row r="213" customFormat="false" ht="15" hidden="false" customHeight="true" outlineLevel="0" collapsed="false">
      <c r="A213" s="36" t="s">
        <v>286</v>
      </c>
      <c r="B213" s="37" t="n">
        <v>1</v>
      </c>
      <c r="C213" s="38" t="s">
        <v>138</v>
      </c>
    </row>
    <row r="214" customFormat="false" ht="15" hidden="false" customHeight="true" outlineLevel="0" collapsed="false">
      <c r="A214" s="39" t="s">
        <v>287</v>
      </c>
      <c r="B214" s="40" t="n">
        <v>2</v>
      </c>
      <c r="C214" s="41" t="s">
        <v>142</v>
      </c>
    </row>
    <row r="215" customFormat="false" ht="15" hidden="false" customHeight="true" outlineLevel="0" collapsed="false">
      <c r="A215" s="36" t="s">
        <v>288</v>
      </c>
      <c r="B215" s="42" t="n">
        <v>3</v>
      </c>
      <c r="C215" s="43" t="s">
        <v>145</v>
      </c>
    </row>
    <row r="216" customFormat="false" ht="15" hidden="false" customHeight="true" outlineLevel="0" collapsed="false">
      <c r="A216" s="39" t="s">
        <v>289</v>
      </c>
      <c r="B216" s="44" t="n">
        <v>4</v>
      </c>
      <c r="C216" s="45" t="s">
        <v>150</v>
      </c>
    </row>
  </sheetData>
  <mergeCells count="36">
    <mergeCell ref="A1:C1"/>
    <mergeCell ref="A2:C2"/>
    <mergeCell ref="A18:C18"/>
    <mergeCell ref="A26:C26"/>
    <mergeCell ref="A34:C34"/>
    <mergeCell ref="A42:C42"/>
    <mergeCell ref="A50:C50"/>
    <mergeCell ref="A58:C58"/>
    <mergeCell ref="A67:C67"/>
    <mergeCell ref="A75:C75"/>
    <mergeCell ref="A83:C83"/>
    <mergeCell ref="A92:C92"/>
    <mergeCell ref="A124:C124"/>
    <mergeCell ref="A132:C132"/>
    <mergeCell ref="A140:C140"/>
    <mergeCell ref="A151:C151"/>
    <mergeCell ref="A164:C164"/>
    <mergeCell ref="A166:C166"/>
    <mergeCell ref="B167:D167"/>
    <mergeCell ref="B169:D169"/>
    <mergeCell ref="B171:D171"/>
    <mergeCell ref="B173:D173"/>
    <mergeCell ref="A176:C176"/>
    <mergeCell ref="B177:D177"/>
    <mergeCell ref="B179:D179"/>
    <mergeCell ref="B181:D181"/>
    <mergeCell ref="B183:D183"/>
    <mergeCell ref="A186:C186"/>
    <mergeCell ref="A187:D187"/>
    <mergeCell ref="A189:C189"/>
    <mergeCell ref="B195:D195"/>
    <mergeCell ref="B198:D198"/>
    <mergeCell ref="A203:C203"/>
    <mergeCell ref="A204:D204"/>
    <mergeCell ref="A211:C211"/>
    <mergeCell ref="A212:D2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true"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4" min="3" style="1" width="14"/>
    <col collapsed="false" customWidth="true" hidden="false" outlineLevel="0" max="5" min="5" style="1" width="12"/>
    <col collapsed="false" customWidth="true" hidden="false" outlineLevel="0" max="6" min="6" style="1" width="16"/>
    <col collapsed="false" customWidth="true" hidden="false" outlineLevel="0" max="7" min="7" style="1" width="50"/>
  </cols>
  <sheetData>
    <row r="1" customFormat="false" ht="15" hidden="false" customHeight="true" outlineLevel="0" collapsed="false">
      <c r="A1" s="35" t="s">
        <v>290</v>
      </c>
      <c r="B1" s="35"/>
      <c r="C1" s="35"/>
      <c r="D1" s="35"/>
      <c r="E1" s="35"/>
      <c r="F1" s="35"/>
      <c r="G1" s="35"/>
    </row>
    <row r="2" customFormat="false" ht="15" hidden="false" customHeight="true" outlineLevel="0" collapsed="false">
      <c r="A2" s="48" t="s">
        <v>291</v>
      </c>
      <c r="B2" s="48" t="s">
        <v>292</v>
      </c>
      <c r="C2" s="48" t="s">
        <v>293</v>
      </c>
      <c r="D2" s="48" t="s">
        <v>294</v>
      </c>
      <c r="E2" s="48" t="s">
        <v>295</v>
      </c>
      <c r="F2" s="48" t="s">
        <v>296</v>
      </c>
      <c r="G2" s="48" t="s">
        <v>297</v>
      </c>
    </row>
    <row r="3" customFormat="false" ht="15" hidden="false" customHeight="true" outlineLevel="0" collapsed="false">
      <c r="A3" s="36" t="s">
        <v>298</v>
      </c>
      <c r="B3" s="49" t="s">
        <v>299</v>
      </c>
      <c r="C3" s="49" t="s">
        <v>300</v>
      </c>
      <c r="D3" s="49" t="s">
        <v>301</v>
      </c>
      <c r="E3" s="37" t="n">
        <v>1</v>
      </c>
      <c r="F3" s="38" t="s">
        <v>138</v>
      </c>
      <c r="G3" s="36" t="s">
        <v>302</v>
      </c>
    </row>
    <row r="4" customFormat="false" ht="15" hidden="false" customHeight="true" outlineLevel="0" collapsed="false">
      <c r="A4" s="39" t="s">
        <v>303</v>
      </c>
      <c r="B4" s="50" t="s">
        <v>304</v>
      </c>
      <c r="C4" s="50" t="s">
        <v>300</v>
      </c>
      <c r="D4" s="50" t="s">
        <v>301</v>
      </c>
      <c r="E4" s="37" t="n">
        <v>1</v>
      </c>
      <c r="F4" s="38" t="s">
        <v>138</v>
      </c>
      <c r="G4" s="39" t="s">
        <v>302</v>
      </c>
    </row>
    <row r="5" customFormat="false" ht="15" hidden="false" customHeight="true" outlineLevel="0" collapsed="false">
      <c r="A5" s="36" t="s">
        <v>305</v>
      </c>
      <c r="B5" s="49" t="s">
        <v>306</v>
      </c>
      <c r="C5" s="49" t="s">
        <v>300</v>
      </c>
      <c r="D5" s="49" t="s">
        <v>301</v>
      </c>
      <c r="E5" s="37" t="n">
        <v>1</v>
      </c>
      <c r="F5" s="38" t="s">
        <v>138</v>
      </c>
      <c r="G5" s="36" t="s">
        <v>307</v>
      </c>
    </row>
    <row r="6" customFormat="false" ht="15" hidden="false" customHeight="true" outlineLevel="0" collapsed="false">
      <c r="A6" s="39" t="s">
        <v>308</v>
      </c>
      <c r="B6" s="50" t="s">
        <v>306</v>
      </c>
      <c r="C6" s="50" t="s">
        <v>300</v>
      </c>
      <c r="D6" s="50" t="s">
        <v>301</v>
      </c>
      <c r="E6" s="37" t="n">
        <v>1</v>
      </c>
      <c r="F6" s="38" t="s">
        <v>138</v>
      </c>
      <c r="G6" s="39" t="s">
        <v>307</v>
      </c>
    </row>
    <row r="7" customFormat="false" ht="15" hidden="false" customHeight="true" outlineLevel="0" collapsed="false">
      <c r="A7" s="36" t="s">
        <v>309</v>
      </c>
      <c r="B7" s="49" t="s">
        <v>299</v>
      </c>
      <c r="C7" s="49" t="s">
        <v>300</v>
      </c>
      <c r="D7" s="49" t="s">
        <v>301</v>
      </c>
      <c r="E7" s="37" t="n">
        <v>1</v>
      </c>
      <c r="F7" s="38" t="s">
        <v>138</v>
      </c>
      <c r="G7" s="36" t="s">
        <v>310</v>
      </c>
    </row>
    <row r="8" customFormat="false" ht="15" hidden="false" customHeight="true" outlineLevel="0" collapsed="false">
      <c r="A8" s="39" t="s">
        <v>311</v>
      </c>
      <c r="B8" s="50" t="s">
        <v>306</v>
      </c>
      <c r="C8" s="50" t="s">
        <v>300</v>
      </c>
      <c r="D8" s="50" t="s">
        <v>301</v>
      </c>
      <c r="E8" s="37" t="n">
        <v>1</v>
      </c>
      <c r="F8" s="38" t="s">
        <v>138</v>
      </c>
      <c r="G8" s="39" t="s">
        <v>312</v>
      </c>
    </row>
    <row r="9" customFormat="false" ht="15" hidden="false" customHeight="true" outlineLevel="0" collapsed="false">
      <c r="A9" s="36" t="s">
        <v>313</v>
      </c>
      <c r="B9" s="49" t="s">
        <v>299</v>
      </c>
      <c r="C9" s="49" t="s">
        <v>300</v>
      </c>
      <c r="D9" s="49" t="s">
        <v>301</v>
      </c>
      <c r="E9" s="37" t="n">
        <v>1</v>
      </c>
      <c r="F9" s="38" t="s">
        <v>138</v>
      </c>
      <c r="G9" s="36" t="s">
        <v>314</v>
      </c>
    </row>
    <row r="10" customFormat="false" ht="15" hidden="false" customHeight="true" outlineLevel="0" collapsed="false">
      <c r="A10" s="39" t="s">
        <v>315</v>
      </c>
      <c r="B10" s="50" t="s">
        <v>306</v>
      </c>
      <c r="C10" s="50" t="s">
        <v>300</v>
      </c>
      <c r="D10" s="50" t="s">
        <v>301</v>
      </c>
      <c r="E10" s="37" t="n">
        <v>1</v>
      </c>
      <c r="F10" s="38" t="s">
        <v>138</v>
      </c>
      <c r="G10" s="39" t="s">
        <v>316</v>
      </c>
    </row>
    <row r="11" customFormat="false" ht="15" hidden="false" customHeight="true" outlineLevel="0" collapsed="false">
      <c r="A11" s="36" t="s">
        <v>317</v>
      </c>
      <c r="B11" s="49" t="s">
        <v>306</v>
      </c>
      <c r="C11" s="49" t="s">
        <v>300</v>
      </c>
      <c r="D11" s="49" t="s">
        <v>301</v>
      </c>
      <c r="E11" s="37" t="n">
        <v>1</v>
      </c>
      <c r="F11" s="38" t="s">
        <v>138</v>
      </c>
      <c r="G11" s="36" t="s">
        <v>307</v>
      </c>
    </row>
    <row r="12" customFormat="false" ht="15" hidden="false" customHeight="true" outlineLevel="0" collapsed="false">
      <c r="A12" s="39" t="s">
        <v>318</v>
      </c>
      <c r="B12" s="50" t="s">
        <v>299</v>
      </c>
      <c r="C12" s="50" t="s">
        <v>300</v>
      </c>
      <c r="D12" s="50" t="s">
        <v>301</v>
      </c>
      <c r="E12" s="37" t="n">
        <v>1</v>
      </c>
      <c r="F12" s="38" t="s">
        <v>138</v>
      </c>
      <c r="G12" s="39" t="s">
        <v>319</v>
      </c>
    </row>
    <row r="13" customFormat="false" ht="15" hidden="false" customHeight="true" outlineLevel="0" collapsed="false">
      <c r="A13" s="36" t="s">
        <v>320</v>
      </c>
      <c r="B13" s="49" t="s">
        <v>299</v>
      </c>
      <c r="C13" s="49" t="s">
        <v>300</v>
      </c>
      <c r="D13" s="49" t="s">
        <v>301</v>
      </c>
      <c r="E13" s="37" t="n">
        <v>1</v>
      </c>
      <c r="F13" s="38" t="s">
        <v>138</v>
      </c>
      <c r="G13" s="36" t="s">
        <v>321</v>
      </c>
    </row>
    <row r="14" customFormat="false" ht="15" hidden="false" customHeight="true" outlineLevel="0" collapsed="false">
      <c r="A14" s="39" t="s">
        <v>322</v>
      </c>
      <c r="B14" s="50" t="s">
        <v>306</v>
      </c>
      <c r="C14" s="50" t="s">
        <v>300</v>
      </c>
      <c r="D14" s="50" t="s">
        <v>301</v>
      </c>
      <c r="E14" s="37" t="n">
        <v>1</v>
      </c>
      <c r="F14" s="38" t="s">
        <v>138</v>
      </c>
      <c r="G14" s="39" t="s">
        <v>323</v>
      </c>
    </row>
    <row r="15" customFormat="false" ht="15" hidden="false" customHeight="true" outlineLevel="0" collapsed="false">
      <c r="A15" s="36" t="s">
        <v>324</v>
      </c>
      <c r="B15" s="49" t="s">
        <v>306</v>
      </c>
      <c r="C15" s="49" t="s">
        <v>300</v>
      </c>
      <c r="D15" s="49" t="s">
        <v>301</v>
      </c>
      <c r="E15" s="37" t="n">
        <v>1</v>
      </c>
      <c r="F15" s="38" t="s">
        <v>138</v>
      </c>
      <c r="G15" s="36" t="s">
        <v>325</v>
      </c>
    </row>
    <row r="16" customFormat="false" ht="15" hidden="false" customHeight="true" outlineLevel="0" collapsed="false">
      <c r="A16" s="39" t="s">
        <v>326</v>
      </c>
      <c r="B16" s="50" t="s">
        <v>304</v>
      </c>
      <c r="C16" s="50" t="s">
        <v>300</v>
      </c>
      <c r="D16" s="50" t="s">
        <v>301</v>
      </c>
      <c r="E16" s="37" t="n">
        <v>1</v>
      </c>
      <c r="F16" s="38" t="s">
        <v>138</v>
      </c>
      <c r="G16" s="39" t="s">
        <v>327</v>
      </c>
    </row>
    <row r="17" customFormat="false" ht="15" hidden="false" customHeight="true" outlineLevel="0" collapsed="false">
      <c r="A17" s="36" t="s">
        <v>328</v>
      </c>
      <c r="B17" s="49" t="s">
        <v>306</v>
      </c>
      <c r="C17" s="49" t="s">
        <v>300</v>
      </c>
      <c r="D17" s="49" t="s">
        <v>301</v>
      </c>
      <c r="E17" s="37" t="n">
        <v>1</v>
      </c>
      <c r="F17" s="38" t="s">
        <v>138</v>
      </c>
      <c r="G17" s="36" t="s">
        <v>329</v>
      </c>
    </row>
    <row r="18" customFormat="false" ht="15" hidden="false" customHeight="true" outlineLevel="0" collapsed="false">
      <c r="A18" s="39" t="s">
        <v>330</v>
      </c>
      <c r="B18" s="50" t="s">
        <v>306</v>
      </c>
      <c r="C18" s="50" t="s">
        <v>300</v>
      </c>
      <c r="D18" s="50" t="s">
        <v>301</v>
      </c>
      <c r="E18" s="37" t="n">
        <v>1</v>
      </c>
      <c r="F18" s="38" t="s">
        <v>138</v>
      </c>
      <c r="G18" s="39" t="s">
        <v>331</v>
      </c>
    </row>
    <row r="19" customFormat="false" ht="15" hidden="false" customHeight="true" outlineLevel="0" collapsed="false">
      <c r="A19" s="36" t="s">
        <v>332</v>
      </c>
      <c r="B19" s="49" t="s">
        <v>306</v>
      </c>
      <c r="C19" s="49" t="s">
        <v>300</v>
      </c>
      <c r="D19" s="49" t="s">
        <v>301</v>
      </c>
      <c r="E19" s="37" t="n">
        <v>1</v>
      </c>
      <c r="F19" s="38" t="s">
        <v>138</v>
      </c>
      <c r="G19" s="36" t="s">
        <v>333</v>
      </c>
    </row>
    <row r="20" customFormat="false" ht="15" hidden="false" customHeight="true" outlineLevel="0" collapsed="false">
      <c r="A20" s="39" t="s">
        <v>334</v>
      </c>
      <c r="B20" s="50" t="s">
        <v>306</v>
      </c>
      <c r="C20" s="50" t="s">
        <v>300</v>
      </c>
      <c r="D20" s="50" t="s">
        <v>301</v>
      </c>
      <c r="E20" s="37" t="n">
        <v>1</v>
      </c>
      <c r="F20" s="38" t="s">
        <v>138</v>
      </c>
      <c r="G20" s="39" t="s">
        <v>333</v>
      </c>
    </row>
    <row r="21" customFormat="false" ht="15" hidden="false" customHeight="true" outlineLevel="0" collapsed="false">
      <c r="A21" s="36" t="s">
        <v>335</v>
      </c>
      <c r="B21" s="49" t="s">
        <v>306</v>
      </c>
      <c r="C21" s="49" t="s">
        <v>300</v>
      </c>
      <c r="D21" s="49" t="s">
        <v>301</v>
      </c>
      <c r="E21" s="37" t="n">
        <v>1</v>
      </c>
      <c r="F21" s="38" t="s">
        <v>138</v>
      </c>
      <c r="G21" s="36" t="s">
        <v>333</v>
      </c>
    </row>
    <row r="22" customFormat="false" ht="15" hidden="false" customHeight="true" outlineLevel="0" collapsed="false">
      <c r="A22" s="39" t="s">
        <v>336</v>
      </c>
      <c r="B22" s="50" t="s">
        <v>306</v>
      </c>
      <c r="C22" s="50" t="s">
        <v>300</v>
      </c>
      <c r="D22" s="50" t="s">
        <v>301</v>
      </c>
      <c r="E22" s="37" t="n">
        <v>1</v>
      </c>
      <c r="F22" s="38" t="s">
        <v>138</v>
      </c>
      <c r="G22" s="39" t="s">
        <v>333</v>
      </c>
    </row>
    <row r="23" customFormat="false" ht="15" hidden="false" customHeight="true" outlineLevel="0" collapsed="false">
      <c r="A23" s="36" t="s">
        <v>337</v>
      </c>
      <c r="B23" s="49" t="s">
        <v>299</v>
      </c>
      <c r="C23" s="49" t="s">
        <v>300</v>
      </c>
      <c r="D23" s="49" t="s">
        <v>301</v>
      </c>
      <c r="E23" s="37" t="n">
        <v>1</v>
      </c>
      <c r="F23" s="38" t="s">
        <v>138</v>
      </c>
      <c r="G23" s="36" t="s">
        <v>338</v>
      </c>
    </row>
    <row r="24" customFormat="false" ht="15" hidden="false" customHeight="true" outlineLevel="0" collapsed="false">
      <c r="A24" s="39" t="s">
        <v>339</v>
      </c>
      <c r="B24" s="50" t="s">
        <v>340</v>
      </c>
      <c r="C24" s="50" t="s">
        <v>300</v>
      </c>
      <c r="D24" s="50" t="s">
        <v>301</v>
      </c>
      <c r="E24" s="37" t="n">
        <v>1</v>
      </c>
      <c r="F24" s="38" t="s">
        <v>138</v>
      </c>
      <c r="G24" s="39" t="s">
        <v>341</v>
      </c>
    </row>
    <row r="25" customFormat="false" ht="15" hidden="false" customHeight="true" outlineLevel="0" collapsed="false">
      <c r="A25" s="36" t="s">
        <v>342</v>
      </c>
      <c r="B25" s="49" t="s">
        <v>340</v>
      </c>
      <c r="C25" s="49" t="s">
        <v>300</v>
      </c>
      <c r="D25" s="49" t="s">
        <v>301</v>
      </c>
      <c r="E25" s="40" t="n">
        <v>2</v>
      </c>
      <c r="F25" s="41" t="s">
        <v>142</v>
      </c>
      <c r="G25" s="36" t="s">
        <v>343</v>
      </c>
    </row>
    <row r="26" customFormat="false" ht="15" hidden="false" customHeight="true" outlineLevel="0" collapsed="false">
      <c r="A26" s="39" t="s">
        <v>344</v>
      </c>
      <c r="B26" s="50" t="s">
        <v>345</v>
      </c>
      <c r="C26" s="50" t="s">
        <v>300</v>
      </c>
      <c r="D26" s="50" t="s">
        <v>301</v>
      </c>
      <c r="E26" s="40" t="n">
        <v>2</v>
      </c>
      <c r="F26" s="41" t="s">
        <v>142</v>
      </c>
      <c r="G26" s="39" t="s">
        <v>346</v>
      </c>
    </row>
    <row r="27" customFormat="false" ht="15" hidden="false" customHeight="true" outlineLevel="0" collapsed="false">
      <c r="A27" s="36" t="s">
        <v>347</v>
      </c>
      <c r="B27" s="49" t="s">
        <v>304</v>
      </c>
      <c r="C27" s="49" t="s">
        <v>300</v>
      </c>
      <c r="D27" s="49" t="s">
        <v>301</v>
      </c>
      <c r="E27" s="40" t="n">
        <v>2</v>
      </c>
      <c r="F27" s="41" t="s">
        <v>142</v>
      </c>
      <c r="G27" s="36" t="s">
        <v>348</v>
      </c>
    </row>
    <row r="28" customFormat="false" ht="15" hidden="false" customHeight="true" outlineLevel="0" collapsed="false">
      <c r="A28" s="39" t="s">
        <v>349</v>
      </c>
      <c r="B28" s="50" t="s">
        <v>304</v>
      </c>
      <c r="C28" s="50" t="s">
        <v>300</v>
      </c>
      <c r="D28" s="50" t="s">
        <v>301</v>
      </c>
      <c r="E28" s="40" t="n">
        <v>2</v>
      </c>
      <c r="F28" s="41" t="s">
        <v>142</v>
      </c>
      <c r="G28" s="39" t="s">
        <v>350</v>
      </c>
    </row>
    <row r="29" customFormat="false" ht="15" hidden="false" customHeight="true" outlineLevel="0" collapsed="false">
      <c r="A29" s="36" t="s">
        <v>351</v>
      </c>
      <c r="B29" s="49" t="s">
        <v>299</v>
      </c>
      <c r="C29" s="49" t="s">
        <v>300</v>
      </c>
      <c r="D29" s="49" t="s">
        <v>301</v>
      </c>
      <c r="E29" s="40" t="n">
        <v>2</v>
      </c>
      <c r="F29" s="41" t="s">
        <v>142</v>
      </c>
      <c r="G29" s="36" t="s">
        <v>352</v>
      </c>
    </row>
    <row r="30" customFormat="false" ht="15" hidden="false" customHeight="true" outlineLevel="0" collapsed="false">
      <c r="A30" s="39" t="s">
        <v>353</v>
      </c>
      <c r="B30" s="50" t="s">
        <v>299</v>
      </c>
      <c r="C30" s="50" t="s">
        <v>300</v>
      </c>
      <c r="D30" s="50" t="s">
        <v>301</v>
      </c>
      <c r="E30" s="40" t="n">
        <v>2</v>
      </c>
      <c r="F30" s="41" t="s">
        <v>142</v>
      </c>
      <c r="G30" s="39" t="s">
        <v>354</v>
      </c>
    </row>
    <row r="31" customFormat="false" ht="15" hidden="false" customHeight="true" outlineLevel="0" collapsed="false">
      <c r="A31" s="36" t="s">
        <v>355</v>
      </c>
      <c r="B31" s="49" t="s">
        <v>299</v>
      </c>
      <c r="C31" s="49" t="s">
        <v>300</v>
      </c>
      <c r="D31" s="49" t="s">
        <v>301</v>
      </c>
      <c r="E31" s="40" t="n">
        <v>2</v>
      </c>
      <c r="F31" s="41" t="s">
        <v>142</v>
      </c>
      <c r="G31" s="36" t="s">
        <v>356</v>
      </c>
    </row>
    <row r="32" customFormat="false" ht="15" hidden="false" customHeight="true" outlineLevel="0" collapsed="false">
      <c r="A32" s="39" t="s">
        <v>357</v>
      </c>
      <c r="B32" s="50" t="s">
        <v>340</v>
      </c>
      <c r="C32" s="50" t="s">
        <v>300</v>
      </c>
      <c r="D32" s="50" t="s">
        <v>301</v>
      </c>
      <c r="E32" s="40" t="n">
        <v>2</v>
      </c>
      <c r="F32" s="41" t="s">
        <v>142</v>
      </c>
      <c r="G32" s="39" t="s">
        <v>358</v>
      </c>
    </row>
    <row r="33" customFormat="false" ht="15" hidden="false" customHeight="true" outlineLevel="0" collapsed="false">
      <c r="A33" s="36" t="s">
        <v>359</v>
      </c>
      <c r="B33" s="49" t="s">
        <v>299</v>
      </c>
      <c r="C33" s="49" t="s">
        <v>300</v>
      </c>
      <c r="D33" s="49" t="s">
        <v>301</v>
      </c>
      <c r="E33" s="40" t="n">
        <v>2</v>
      </c>
      <c r="F33" s="41" t="s">
        <v>142</v>
      </c>
      <c r="G33" s="36" t="s">
        <v>360</v>
      </c>
    </row>
    <row r="34" customFormat="false" ht="15" hidden="false" customHeight="true" outlineLevel="0" collapsed="false">
      <c r="A34" s="39" t="s">
        <v>361</v>
      </c>
      <c r="B34" s="50" t="s">
        <v>345</v>
      </c>
      <c r="C34" s="50" t="s">
        <v>300</v>
      </c>
      <c r="D34" s="50" t="s">
        <v>301</v>
      </c>
      <c r="E34" s="40" t="n">
        <v>2</v>
      </c>
      <c r="F34" s="41" t="s">
        <v>142</v>
      </c>
      <c r="G34" s="39" t="s">
        <v>362</v>
      </c>
    </row>
    <row r="35" customFormat="false" ht="15" hidden="false" customHeight="true" outlineLevel="0" collapsed="false">
      <c r="A35" s="36" t="s">
        <v>363</v>
      </c>
      <c r="B35" s="49" t="s">
        <v>304</v>
      </c>
      <c r="C35" s="49" t="s">
        <v>300</v>
      </c>
      <c r="D35" s="49" t="s">
        <v>301</v>
      </c>
      <c r="E35" s="40" t="n">
        <v>2</v>
      </c>
      <c r="F35" s="41" t="s">
        <v>142</v>
      </c>
      <c r="G35" s="36" t="s">
        <v>364</v>
      </c>
    </row>
    <row r="36" customFormat="false" ht="15" hidden="false" customHeight="true" outlineLevel="0" collapsed="false">
      <c r="A36" s="39" t="s">
        <v>365</v>
      </c>
      <c r="B36" s="50" t="s">
        <v>345</v>
      </c>
      <c r="C36" s="50" t="s">
        <v>300</v>
      </c>
      <c r="D36" s="50" t="s">
        <v>301</v>
      </c>
      <c r="E36" s="40" t="n">
        <v>2</v>
      </c>
      <c r="F36" s="41" t="s">
        <v>142</v>
      </c>
      <c r="G36" s="39" t="s">
        <v>366</v>
      </c>
    </row>
    <row r="37" customFormat="false" ht="15" hidden="false" customHeight="true" outlineLevel="0" collapsed="false">
      <c r="A37" s="36" t="s">
        <v>367</v>
      </c>
      <c r="B37" s="49" t="s">
        <v>340</v>
      </c>
      <c r="C37" s="49" t="s">
        <v>300</v>
      </c>
      <c r="D37" s="49" t="s">
        <v>301</v>
      </c>
      <c r="E37" s="40" t="n">
        <v>2</v>
      </c>
      <c r="F37" s="41" t="s">
        <v>142</v>
      </c>
      <c r="G37" s="36" t="s">
        <v>368</v>
      </c>
    </row>
    <row r="38" customFormat="false" ht="15" hidden="false" customHeight="true" outlineLevel="0" collapsed="false">
      <c r="A38" s="39" t="s">
        <v>369</v>
      </c>
      <c r="B38" s="50" t="s">
        <v>340</v>
      </c>
      <c r="C38" s="50" t="s">
        <v>300</v>
      </c>
      <c r="D38" s="50" t="s">
        <v>301</v>
      </c>
      <c r="E38" s="40" t="n">
        <v>2</v>
      </c>
      <c r="F38" s="41" t="s">
        <v>142</v>
      </c>
      <c r="G38" s="39" t="s">
        <v>370</v>
      </c>
    </row>
    <row r="39" customFormat="false" ht="15" hidden="false" customHeight="true" outlineLevel="0" collapsed="false">
      <c r="A39" s="36" t="s">
        <v>371</v>
      </c>
      <c r="B39" s="49" t="s">
        <v>345</v>
      </c>
      <c r="C39" s="49" t="s">
        <v>300</v>
      </c>
      <c r="D39" s="49" t="s">
        <v>301</v>
      </c>
      <c r="E39" s="40" t="n">
        <v>2</v>
      </c>
      <c r="F39" s="41" t="s">
        <v>142</v>
      </c>
      <c r="G39" s="36" t="s">
        <v>372</v>
      </c>
    </row>
    <row r="40" customFormat="false" ht="15" hidden="false" customHeight="true" outlineLevel="0" collapsed="false">
      <c r="A40" s="39" t="s">
        <v>373</v>
      </c>
      <c r="B40" s="50" t="s">
        <v>340</v>
      </c>
      <c r="C40" s="50" t="s">
        <v>300</v>
      </c>
      <c r="D40" s="50" t="s">
        <v>301</v>
      </c>
      <c r="E40" s="40" t="n">
        <v>2</v>
      </c>
      <c r="F40" s="41" t="s">
        <v>142</v>
      </c>
      <c r="G40" s="39" t="s">
        <v>374</v>
      </c>
    </row>
    <row r="41" customFormat="false" ht="15" hidden="false" customHeight="true" outlineLevel="0" collapsed="false">
      <c r="A41" s="51" t="s">
        <v>375</v>
      </c>
      <c r="B41" s="52" t="s">
        <v>345</v>
      </c>
      <c r="C41" s="52" t="s">
        <v>300</v>
      </c>
      <c r="D41" s="52" t="s">
        <v>301</v>
      </c>
      <c r="E41" s="53" t="n">
        <v>3</v>
      </c>
      <c r="F41" s="54" t="s">
        <v>145</v>
      </c>
      <c r="G41" s="51" t="s">
        <v>376</v>
      </c>
    </row>
    <row r="42" customFormat="false" ht="15" hidden="false" customHeight="true" outlineLevel="0" collapsed="false">
      <c r="A42" s="51" t="s">
        <v>377</v>
      </c>
      <c r="B42" s="52" t="s">
        <v>306</v>
      </c>
      <c r="C42" s="52" t="s">
        <v>300</v>
      </c>
      <c r="D42" s="52" t="s">
        <v>301</v>
      </c>
      <c r="E42" s="53" t="n">
        <v>1</v>
      </c>
      <c r="F42" s="54" t="s">
        <v>138</v>
      </c>
      <c r="G42" s="51" t="s">
        <v>378</v>
      </c>
    </row>
    <row r="43" customFormat="false" ht="15" hidden="false" customHeight="true" outlineLevel="0" collapsed="false">
      <c r="A43" s="36" t="s">
        <v>379</v>
      </c>
      <c r="B43" s="49" t="s">
        <v>380</v>
      </c>
      <c r="C43" s="49" t="s">
        <v>300</v>
      </c>
      <c r="D43" s="49" t="s">
        <v>301</v>
      </c>
      <c r="E43" s="40" t="n">
        <v>2</v>
      </c>
      <c r="F43" s="41" t="s">
        <v>142</v>
      </c>
      <c r="G43" s="36" t="s">
        <v>381</v>
      </c>
    </row>
    <row r="44" customFormat="false" ht="15" hidden="false" customHeight="true" outlineLevel="0" collapsed="false">
      <c r="A44" s="39" t="s">
        <v>382</v>
      </c>
      <c r="B44" s="50" t="s">
        <v>340</v>
      </c>
      <c r="C44" s="50" t="s">
        <v>300</v>
      </c>
      <c r="D44" s="50" t="s">
        <v>301</v>
      </c>
      <c r="E44" s="40" t="n">
        <v>2</v>
      </c>
      <c r="F44" s="41" t="s">
        <v>142</v>
      </c>
      <c r="G44" s="39" t="s">
        <v>383</v>
      </c>
    </row>
    <row r="45" customFormat="false" ht="15" hidden="false" customHeight="true" outlineLevel="0" collapsed="false">
      <c r="A45" s="36" t="s">
        <v>384</v>
      </c>
      <c r="B45" s="49" t="s">
        <v>345</v>
      </c>
      <c r="C45" s="49" t="s">
        <v>300</v>
      </c>
      <c r="D45" s="49" t="s">
        <v>301</v>
      </c>
      <c r="E45" s="40" t="n">
        <v>2</v>
      </c>
      <c r="F45" s="41" t="s">
        <v>142</v>
      </c>
      <c r="G45" s="36" t="s">
        <v>385</v>
      </c>
    </row>
    <row r="46" customFormat="false" ht="15" hidden="false" customHeight="true" outlineLevel="0" collapsed="false">
      <c r="A46" s="39" t="s">
        <v>386</v>
      </c>
      <c r="B46" s="50" t="s">
        <v>345</v>
      </c>
      <c r="C46" s="50" t="s">
        <v>300</v>
      </c>
      <c r="D46" s="50" t="s">
        <v>301</v>
      </c>
      <c r="E46" s="40" t="n">
        <v>2</v>
      </c>
      <c r="F46" s="41" t="s">
        <v>142</v>
      </c>
      <c r="G46" s="39" t="s">
        <v>387</v>
      </c>
    </row>
    <row r="47" customFormat="false" ht="15" hidden="false" customHeight="true" outlineLevel="0" collapsed="false">
      <c r="A47" s="36" t="s">
        <v>388</v>
      </c>
      <c r="B47" s="49" t="s">
        <v>345</v>
      </c>
      <c r="C47" s="49" t="s">
        <v>300</v>
      </c>
      <c r="D47" s="49" t="s">
        <v>301</v>
      </c>
      <c r="E47" s="40" t="n">
        <v>2</v>
      </c>
      <c r="F47" s="41" t="s">
        <v>142</v>
      </c>
      <c r="G47" s="36" t="s">
        <v>389</v>
      </c>
    </row>
    <row r="48" customFormat="false" ht="15" hidden="false" customHeight="true" outlineLevel="0" collapsed="false">
      <c r="A48" s="39" t="s">
        <v>390</v>
      </c>
      <c r="B48" s="50" t="s">
        <v>340</v>
      </c>
      <c r="C48" s="50" t="s">
        <v>300</v>
      </c>
      <c r="D48" s="50" t="s">
        <v>301</v>
      </c>
      <c r="E48" s="40" t="n">
        <v>2</v>
      </c>
      <c r="F48" s="41" t="s">
        <v>142</v>
      </c>
      <c r="G48" s="39" t="s">
        <v>366</v>
      </c>
    </row>
    <row r="49" customFormat="false" ht="15" hidden="false" customHeight="true" outlineLevel="0" collapsed="false">
      <c r="A49" s="36" t="s">
        <v>391</v>
      </c>
      <c r="B49" s="49" t="s">
        <v>299</v>
      </c>
      <c r="C49" s="49" t="s">
        <v>300</v>
      </c>
      <c r="D49" s="49" t="s">
        <v>301</v>
      </c>
      <c r="E49" s="40" t="n">
        <v>2</v>
      </c>
      <c r="F49" s="41" t="s">
        <v>142</v>
      </c>
      <c r="G49" s="36" t="s">
        <v>392</v>
      </c>
    </row>
    <row r="50" customFormat="false" ht="15" hidden="false" customHeight="true" outlineLevel="0" collapsed="false">
      <c r="A50" s="39" t="s">
        <v>393</v>
      </c>
      <c r="B50" s="50" t="s">
        <v>345</v>
      </c>
      <c r="C50" s="50" t="s">
        <v>300</v>
      </c>
      <c r="D50" s="50" t="s">
        <v>301</v>
      </c>
      <c r="E50" s="40" t="n">
        <v>2</v>
      </c>
      <c r="F50" s="41" t="s">
        <v>142</v>
      </c>
      <c r="G50" s="39" t="s">
        <v>394</v>
      </c>
    </row>
    <row r="51" customFormat="false" ht="15" hidden="false" customHeight="true" outlineLevel="0" collapsed="false">
      <c r="A51" s="36" t="s">
        <v>395</v>
      </c>
      <c r="B51" s="49" t="s">
        <v>345</v>
      </c>
      <c r="C51" s="49" t="s">
        <v>300</v>
      </c>
      <c r="D51" s="49" t="s">
        <v>396</v>
      </c>
      <c r="E51" s="42" t="n">
        <v>3</v>
      </c>
      <c r="F51" s="43" t="s">
        <v>145</v>
      </c>
      <c r="G51" s="36" t="s">
        <v>397</v>
      </c>
    </row>
    <row r="52" customFormat="false" ht="15" hidden="false" customHeight="true" outlineLevel="0" collapsed="false">
      <c r="A52" s="39" t="s">
        <v>398</v>
      </c>
      <c r="B52" s="50" t="s">
        <v>345</v>
      </c>
      <c r="C52" s="50" t="s">
        <v>300</v>
      </c>
      <c r="D52" s="50" t="s">
        <v>396</v>
      </c>
      <c r="E52" s="42" t="n">
        <v>3</v>
      </c>
      <c r="F52" s="43" t="s">
        <v>145</v>
      </c>
      <c r="G52" s="39" t="s">
        <v>399</v>
      </c>
    </row>
    <row r="53" customFormat="false" ht="15" hidden="false" customHeight="true" outlineLevel="0" collapsed="false">
      <c r="A53" s="36" t="s">
        <v>400</v>
      </c>
      <c r="B53" s="49" t="s">
        <v>345</v>
      </c>
      <c r="C53" s="49" t="s">
        <v>300</v>
      </c>
      <c r="D53" s="49" t="s">
        <v>396</v>
      </c>
      <c r="E53" s="42" t="n">
        <v>3</v>
      </c>
      <c r="F53" s="43" t="s">
        <v>145</v>
      </c>
      <c r="G53" s="36" t="s">
        <v>401</v>
      </c>
    </row>
    <row r="54" customFormat="false" ht="15" hidden="false" customHeight="true" outlineLevel="0" collapsed="false">
      <c r="A54" s="39" t="s">
        <v>402</v>
      </c>
      <c r="B54" s="50" t="s">
        <v>345</v>
      </c>
      <c r="C54" s="50" t="s">
        <v>300</v>
      </c>
      <c r="D54" s="50" t="s">
        <v>396</v>
      </c>
      <c r="E54" s="42" t="n">
        <v>3</v>
      </c>
      <c r="F54" s="43" t="s">
        <v>145</v>
      </c>
      <c r="G54" s="39" t="s">
        <v>403</v>
      </c>
    </row>
    <row r="55" customFormat="false" ht="15" hidden="false" customHeight="true" outlineLevel="0" collapsed="false">
      <c r="A55" s="36" t="s">
        <v>404</v>
      </c>
      <c r="B55" s="49" t="s">
        <v>304</v>
      </c>
      <c r="C55" s="49" t="s">
        <v>300</v>
      </c>
      <c r="D55" s="49" t="s">
        <v>396</v>
      </c>
      <c r="E55" s="42" t="n">
        <v>3</v>
      </c>
      <c r="F55" s="43" t="s">
        <v>145</v>
      </c>
      <c r="G55" s="36" t="s">
        <v>405</v>
      </c>
    </row>
    <row r="56" customFormat="false" ht="15" hidden="false" customHeight="true" outlineLevel="0" collapsed="false">
      <c r="A56" s="39" t="s">
        <v>406</v>
      </c>
      <c r="B56" s="50" t="s">
        <v>345</v>
      </c>
      <c r="C56" s="50" t="s">
        <v>300</v>
      </c>
      <c r="D56" s="50" t="s">
        <v>396</v>
      </c>
      <c r="E56" s="42" t="n">
        <v>3</v>
      </c>
      <c r="F56" s="43" t="s">
        <v>145</v>
      </c>
      <c r="G56" s="39" t="s">
        <v>407</v>
      </c>
    </row>
    <row r="57" customFormat="false" ht="15" hidden="false" customHeight="true" outlineLevel="0" collapsed="false">
      <c r="A57" s="36" t="s">
        <v>408</v>
      </c>
      <c r="B57" s="49" t="s">
        <v>299</v>
      </c>
      <c r="C57" s="49" t="s">
        <v>300</v>
      </c>
      <c r="D57" s="49" t="s">
        <v>396</v>
      </c>
      <c r="E57" s="42" t="n">
        <v>3</v>
      </c>
      <c r="F57" s="43" t="s">
        <v>145</v>
      </c>
      <c r="G57" s="36" t="s">
        <v>401</v>
      </c>
    </row>
    <row r="58" customFormat="false" ht="15" hidden="false" customHeight="true" outlineLevel="0" collapsed="false">
      <c r="A58" s="39" t="s">
        <v>409</v>
      </c>
      <c r="B58" s="50" t="s">
        <v>340</v>
      </c>
      <c r="C58" s="50" t="s">
        <v>300</v>
      </c>
      <c r="D58" s="50" t="s">
        <v>396</v>
      </c>
      <c r="E58" s="42" t="n">
        <v>3</v>
      </c>
      <c r="F58" s="43" t="s">
        <v>145</v>
      </c>
      <c r="G58" s="39" t="s">
        <v>410</v>
      </c>
    </row>
    <row r="59" customFormat="false" ht="15" hidden="false" customHeight="true" outlineLevel="0" collapsed="false">
      <c r="A59" s="36" t="s">
        <v>411</v>
      </c>
      <c r="B59" s="49" t="s">
        <v>345</v>
      </c>
      <c r="C59" s="49" t="s">
        <v>300</v>
      </c>
      <c r="D59" s="49" t="s">
        <v>396</v>
      </c>
      <c r="E59" s="42" t="n">
        <v>3</v>
      </c>
      <c r="F59" s="43" t="s">
        <v>145</v>
      </c>
      <c r="G59" s="36" t="s">
        <v>412</v>
      </c>
    </row>
    <row r="60" customFormat="false" ht="15" hidden="false" customHeight="true" outlineLevel="0" collapsed="false">
      <c r="A60" s="39" t="s">
        <v>413</v>
      </c>
      <c r="B60" s="50" t="s">
        <v>306</v>
      </c>
      <c r="C60" s="50" t="s">
        <v>300</v>
      </c>
      <c r="D60" s="50" t="s">
        <v>396</v>
      </c>
      <c r="E60" s="42" t="n">
        <v>3</v>
      </c>
      <c r="F60" s="43" t="s">
        <v>145</v>
      </c>
      <c r="G60" s="39" t="s">
        <v>401</v>
      </c>
    </row>
    <row r="61" customFormat="false" ht="15" hidden="false" customHeight="true" outlineLevel="0" collapsed="false">
      <c r="A61" s="36" t="s">
        <v>414</v>
      </c>
      <c r="B61" s="49" t="s">
        <v>345</v>
      </c>
      <c r="C61" s="49" t="s">
        <v>300</v>
      </c>
      <c r="D61" s="49" t="s">
        <v>396</v>
      </c>
      <c r="E61" s="42" t="n">
        <v>3</v>
      </c>
      <c r="F61" s="43" t="s">
        <v>145</v>
      </c>
      <c r="G61" s="36" t="s">
        <v>401</v>
      </c>
    </row>
    <row r="62" customFormat="false" ht="15" hidden="false" customHeight="true" outlineLevel="0" collapsed="false">
      <c r="A62" s="39" t="s">
        <v>415</v>
      </c>
      <c r="B62" s="50" t="s">
        <v>345</v>
      </c>
      <c r="C62" s="50" t="s">
        <v>300</v>
      </c>
      <c r="D62" s="50" t="s">
        <v>396</v>
      </c>
      <c r="E62" s="42" t="n">
        <v>3</v>
      </c>
      <c r="F62" s="43" t="s">
        <v>145</v>
      </c>
      <c r="G62" s="39" t="s">
        <v>416</v>
      </c>
    </row>
    <row r="63" customFormat="false" ht="15" hidden="false" customHeight="true" outlineLevel="0" collapsed="false">
      <c r="A63" s="36" t="s">
        <v>417</v>
      </c>
      <c r="B63" s="49" t="s">
        <v>299</v>
      </c>
      <c r="C63" s="49" t="s">
        <v>300</v>
      </c>
      <c r="D63" s="49" t="s">
        <v>396</v>
      </c>
      <c r="E63" s="42" t="n">
        <v>3</v>
      </c>
      <c r="F63" s="43" t="s">
        <v>145</v>
      </c>
      <c r="G63" s="36" t="s">
        <v>401</v>
      </c>
    </row>
    <row r="64" customFormat="false" ht="15" hidden="false" customHeight="true" outlineLevel="0" collapsed="false">
      <c r="A64" s="39" t="s">
        <v>418</v>
      </c>
      <c r="B64" s="50" t="s">
        <v>345</v>
      </c>
      <c r="C64" s="50" t="s">
        <v>300</v>
      </c>
      <c r="D64" s="50" t="s">
        <v>396</v>
      </c>
      <c r="E64" s="42" t="n">
        <v>3</v>
      </c>
      <c r="F64" s="43" t="s">
        <v>145</v>
      </c>
      <c r="G64" s="39" t="s">
        <v>401</v>
      </c>
    </row>
    <row r="65" customFormat="false" ht="15" hidden="false" customHeight="true" outlineLevel="0" collapsed="false">
      <c r="A65" s="36" t="s">
        <v>419</v>
      </c>
      <c r="B65" s="49" t="s">
        <v>345</v>
      </c>
      <c r="C65" s="49" t="s">
        <v>300</v>
      </c>
      <c r="D65" s="49" t="s">
        <v>396</v>
      </c>
      <c r="E65" s="42" t="n">
        <v>3</v>
      </c>
      <c r="F65" s="43" t="s">
        <v>145</v>
      </c>
      <c r="G65" s="36" t="s">
        <v>401</v>
      </c>
    </row>
    <row r="66" customFormat="false" ht="15" hidden="false" customHeight="true" outlineLevel="0" collapsed="false">
      <c r="A66" s="39" t="s">
        <v>420</v>
      </c>
      <c r="B66" s="50" t="s">
        <v>345</v>
      </c>
      <c r="C66" s="50" t="s">
        <v>421</v>
      </c>
      <c r="D66" s="50" t="s">
        <v>396</v>
      </c>
      <c r="E66" s="42" t="n">
        <v>3</v>
      </c>
      <c r="F66" s="43" t="s">
        <v>145</v>
      </c>
      <c r="G66" s="39" t="s">
        <v>422</v>
      </c>
    </row>
    <row r="67" customFormat="false" ht="15" hidden="false" customHeight="true" outlineLevel="0" collapsed="false">
      <c r="A67" s="36" t="s">
        <v>423</v>
      </c>
      <c r="B67" s="49" t="s">
        <v>345</v>
      </c>
      <c r="C67" s="49" t="s">
        <v>300</v>
      </c>
      <c r="D67" s="49" t="s">
        <v>396</v>
      </c>
      <c r="E67" s="42" t="n">
        <v>3</v>
      </c>
      <c r="F67" s="43" t="s">
        <v>145</v>
      </c>
      <c r="G67" s="36" t="s">
        <v>401</v>
      </c>
    </row>
    <row r="68" customFormat="false" ht="15" hidden="false" customHeight="true" outlineLevel="0" collapsed="false">
      <c r="A68" s="39" t="s">
        <v>424</v>
      </c>
      <c r="B68" s="50" t="s">
        <v>304</v>
      </c>
      <c r="C68" s="50" t="s">
        <v>300</v>
      </c>
      <c r="D68" s="50" t="s">
        <v>396</v>
      </c>
      <c r="E68" s="42" t="n">
        <v>3</v>
      </c>
      <c r="F68" s="43" t="s">
        <v>145</v>
      </c>
      <c r="G68" s="39" t="s">
        <v>425</v>
      </c>
    </row>
    <row r="69" customFormat="false" ht="15" hidden="false" customHeight="true" outlineLevel="0" collapsed="false">
      <c r="A69" s="36" t="s">
        <v>426</v>
      </c>
      <c r="B69" s="49" t="s">
        <v>299</v>
      </c>
      <c r="C69" s="49" t="s">
        <v>300</v>
      </c>
      <c r="D69" s="49" t="s">
        <v>396</v>
      </c>
      <c r="E69" s="42" t="n">
        <v>3</v>
      </c>
      <c r="F69" s="43" t="s">
        <v>145</v>
      </c>
      <c r="G69" s="36" t="s">
        <v>401</v>
      </c>
    </row>
    <row r="70" customFormat="false" ht="15" hidden="false" customHeight="true" outlineLevel="0" collapsed="false">
      <c r="A70" s="39" t="s">
        <v>427</v>
      </c>
      <c r="B70" s="50" t="s">
        <v>340</v>
      </c>
      <c r="C70" s="50" t="s">
        <v>421</v>
      </c>
      <c r="D70" s="50" t="s">
        <v>396</v>
      </c>
      <c r="E70" s="42" t="n">
        <v>3</v>
      </c>
      <c r="F70" s="43" t="s">
        <v>145</v>
      </c>
      <c r="G70" s="39" t="s">
        <v>428</v>
      </c>
    </row>
    <row r="71" customFormat="false" ht="15" hidden="false" customHeight="true" outlineLevel="0" collapsed="false">
      <c r="A71" s="36" t="s">
        <v>429</v>
      </c>
      <c r="B71" s="49" t="s">
        <v>340</v>
      </c>
      <c r="C71" s="49" t="s">
        <v>421</v>
      </c>
      <c r="D71" s="49" t="s">
        <v>430</v>
      </c>
      <c r="E71" s="44" t="n">
        <v>4</v>
      </c>
      <c r="F71" s="45" t="s">
        <v>150</v>
      </c>
      <c r="G71" s="36" t="s">
        <v>431</v>
      </c>
    </row>
    <row r="72" customFormat="false" ht="15" hidden="false" customHeight="true" outlineLevel="0" collapsed="false">
      <c r="A72" s="39" t="s">
        <v>432</v>
      </c>
      <c r="B72" s="50" t="s">
        <v>299</v>
      </c>
      <c r="C72" s="50" t="s">
        <v>421</v>
      </c>
      <c r="D72" s="50" t="s">
        <v>430</v>
      </c>
      <c r="E72" s="44" t="n">
        <v>4</v>
      </c>
      <c r="F72" s="45" t="s">
        <v>150</v>
      </c>
      <c r="G72" s="39" t="s">
        <v>433</v>
      </c>
    </row>
    <row r="73" customFormat="false" ht="15" hidden="false" customHeight="true" outlineLevel="0" collapsed="false">
      <c r="A73" s="36" t="s">
        <v>434</v>
      </c>
      <c r="B73" s="49" t="s">
        <v>299</v>
      </c>
      <c r="C73" s="49" t="s">
        <v>421</v>
      </c>
      <c r="D73" s="49" t="s">
        <v>430</v>
      </c>
      <c r="E73" s="44" t="n">
        <v>4</v>
      </c>
      <c r="F73" s="45" t="s">
        <v>150</v>
      </c>
      <c r="G73" s="36" t="s">
        <v>435</v>
      </c>
    </row>
    <row r="74" customFormat="false" ht="15" hidden="false" customHeight="true" outlineLevel="0" collapsed="false">
      <c r="A74" s="39" t="s">
        <v>436</v>
      </c>
      <c r="B74" s="50" t="s">
        <v>380</v>
      </c>
      <c r="C74" s="50" t="s">
        <v>300</v>
      </c>
      <c r="D74" s="50" t="s">
        <v>437</v>
      </c>
      <c r="E74" s="44" t="n">
        <v>4</v>
      </c>
      <c r="F74" s="45" t="s">
        <v>150</v>
      </c>
      <c r="G74" s="39" t="s">
        <v>438</v>
      </c>
    </row>
    <row r="75" customFormat="false" ht="15" hidden="false" customHeight="true" outlineLevel="0" collapsed="false">
      <c r="A75" s="36" t="s">
        <v>439</v>
      </c>
      <c r="B75" s="49" t="s">
        <v>340</v>
      </c>
      <c r="C75" s="49" t="s">
        <v>421</v>
      </c>
      <c r="D75" s="49" t="s">
        <v>430</v>
      </c>
      <c r="E75" s="44" t="n">
        <v>4</v>
      </c>
      <c r="F75" s="45" t="s">
        <v>150</v>
      </c>
      <c r="G75" s="36" t="s">
        <v>440</v>
      </c>
    </row>
    <row r="76" customFormat="false" ht="15" hidden="false" customHeight="true" outlineLevel="0" collapsed="false">
      <c r="A76" s="39" t="s">
        <v>441</v>
      </c>
      <c r="B76" s="50" t="s">
        <v>306</v>
      </c>
      <c r="C76" s="50" t="s">
        <v>421</v>
      </c>
      <c r="D76" s="50" t="s">
        <v>430</v>
      </c>
      <c r="E76" s="44" t="n">
        <v>4</v>
      </c>
      <c r="F76" s="45" t="s">
        <v>150</v>
      </c>
      <c r="G76" s="39" t="s">
        <v>442</v>
      </c>
    </row>
    <row r="77" customFormat="false" ht="15" hidden="false" customHeight="true" outlineLevel="0" collapsed="false">
      <c r="A77" s="36" t="s">
        <v>443</v>
      </c>
      <c r="B77" s="49" t="s">
        <v>304</v>
      </c>
      <c r="C77" s="49" t="s">
        <v>421</v>
      </c>
      <c r="D77" s="49" t="s">
        <v>430</v>
      </c>
      <c r="E77" s="44" t="n">
        <v>4</v>
      </c>
      <c r="F77" s="45" t="s">
        <v>150</v>
      </c>
      <c r="G77" s="36" t="s">
        <v>444</v>
      </c>
    </row>
    <row r="78" customFormat="false" ht="15" hidden="false" customHeight="true" outlineLevel="0" collapsed="false">
      <c r="A78" s="39" t="s">
        <v>445</v>
      </c>
      <c r="B78" s="50" t="s">
        <v>446</v>
      </c>
      <c r="C78" s="50" t="s">
        <v>421</v>
      </c>
      <c r="D78" s="50" t="s">
        <v>430</v>
      </c>
      <c r="E78" s="44" t="n">
        <v>4</v>
      </c>
      <c r="F78" s="45" t="s">
        <v>150</v>
      </c>
      <c r="G78" s="39" t="s">
        <v>447</v>
      </c>
    </row>
    <row r="79" customFormat="false" ht="15" hidden="false" customHeight="true" outlineLevel="0" collapsed="false">
      <c r="A79" s="36" t="s">
        <v>448</v>
      </c>
      <c r="B79" s="49" t="s">
        <v>345</v>
      </c>
      <c r="C79" s="49" t="s">
        <v>421</v>
      </c>
      <c r="D79" s="49" t="s">
        <v>430</v>
      </c>
      <c r="E79" s="44" t="n">
        <v>4</v>
      </c>
      <c r="F79" s="45" t="s">
        <v>150</v>
      </c>
      <c r="G79" s="36" t="s">
        <v>449</v>
      </c>
    </row>
    <row r="80" customFormat="false" ht="15" hidden="false" customHeight="true" outlineLevel="0" collapsed="false">
      <c r="A80" s="39" t="s">
        <v>450</v>
      </c>
      <c r="B80" s="50" t="s">
        <v>345</v>
      </c>
      <c r="C80" s="50" t="s">
        <v>421</v>
      </c>
      <c r="D80" s="50" t="s">
        <v>430</v>
      </c>
      <c r="E80" s="44" t="n">
        <v>4</v>
      </c>
      <c r="F80" s="45" t="s">
        <v>150</v>
      </c>
      <c r="G80" s="39" t="s">
        <v>451</v>
      </c>
    </row>
    <row r="81" customFormat="false" ht="15" hidden="false" customHeight="true" outlineLevel="0" collapsed="false">
      <c r="A81" s="36" t="s">
        <v>452</v>
      </c>
      <c r="B81" s="49" t="s">
        <v>345</v>
      </c>
      <c r="C81" s="49" t="s">
        <v>421</v>
      </c>
      <c r="D81" s="49" t="s">
        <v>430</v>
      </c>
      <c r="E81" s="44" t="n">
        <v>4</v>
      </c>
      <c r="F81" s="45" t="s">
        <v>150</v>
      </c>
      <c r="G81" s="36" t="s">
        <v>453</v>
      </c>
    </row>
    <row r="82" customFormat="false" ht="15" hidden="false" customHeight="true" outlineLevel="0" collapsed="false">
      <c r="A82" s="39" t="s">
        <v>454</v>
      </c>
      <c r="B82" s="50" t="s">
        <v>345</v>
      </c>
      <c r="C82" s="50" t="s">
        <v>421</v>
      </c>
      <c r="D82" s="50" t="s">
        <v>430</v>
      </c>
      <c r="E82" s="44" t="n">
        <v>4</v>
      </c>
      <c r="F82" s="45" t="s">
        <v>150</v>
      </c>
      <c r="G82" s="39" t="s">
        <v>455</v>
      </c>
    </row>
    <row r="83" customFormat="false" ht="23.25" hidden="false" customHeight="true" outlineLevel="0" collapsed="false">
      <c r="A83" s="55" t="s">
        <v>456</v>
      </c>
      <c r="B83" s="55" t="s">
        <v>457</v>
      </c>
      <c r="C83" s="55" t="s">
        <v>421</v>
      </c>
      <c r="D83" s="55" t="s">
        <v>458</v>
      </c>
      <c r="E83" s="55" t="n">
        <v>4</v>
      </c>
      <c r="F83" s="55" t="s">
        <v>150</v>
      </c>
      <c r="G83" s="55" t="s">
        <v>459</v>
      </c>
    </row>
    <row r="84" customFormat="false" ht="15" hidden="false" customHeight="true" outlineLevel="0" collapsed="false">
      <c r="A84" s="55" t="s">
        <v>460</v>
      </c>
      <c r="B84" s="55" t="s">
        <v>457</v>
      </c>
      <c r="C84" s="55" t="s">
        <v>421</v>
      </c>
      <c r="D84" s="55" t="s">
        <v>458</v>
      </c>
      <c r="E84" s="55" t="n">
        <v>4</v>
      </c>
      <c r="F84" s="55" t="s">
        <v>150</v>
      </c>
      <c r="G84" s="55" t="s">
        <v>461</v>
      </c>
    </row>
    <row r="85" customFormat="false" ht="23.25" hidden="false" customHeight="true" outlineLevel="0" collapsed="false">
      <c r="A85" s="55" t="s">
        <v>462</v>
      </c>
      <c r="B85" s="55" t="s">
        <v>304</v>
      </c>
      <c r="C85" s="55" t="s">
        <v>421</v>
      </c>
      <c r="D85" s="55" t="s">
        <v>458</v>
      </c>
      <c r="E85" s="55" t="n">
        <v>4</v>
      </c>
      <c r="F85" s="55" t="s">
        <v>150</v>
      </c>
      <c r="G85" s="55" t="s">
        <v>463</v>
      </c>
    </row>
    <row r="86" customFormat="false" ht="23.25" hidden="false" customHeight="true" outlineLevel="0" collapsed="false">
      <c r="A86" s="55" t="s">
        <v>464</v>
      </c>
      <c r="B86" s="55" t="s">
        <v>457</v>
      </c>
      <c r="C86" s="55" t="s">
        <v>421</v>
      </c>
      <c r="D86" s="55" t="s">
        <v>458</v>
      </c>
      <c r="E86" s="55" t="n">
        <v>3</v>
      </c>
      <c r="F86" s="55" t="s">
        <v>145</v>
      </c>
      <c r="G86" s="55" t="s">
        <v>465</v>
      </c>
    </row>
    <row r="87" customFormat="false" ht="23.25" hidden="false" customHeight="true" outlineLevel="0" collapsed="false">
      <c r="A87" s="55" t="s">
        <v>466</v>
      </c>
      <c r="B87" s="55" t="s">
        <v>306</v>
      </c>
      <c r="C87" s="55" t="s">
        <v>421</v>
      </c>
      <c r="D87" s="55" t="s">
        <v>458</v>
      </c>
      <c r="E87" s="55" t="n">
        <v>2</v>
      </c>
      <c r="F87" s="55" t="s">
        <v>142</v>
      </c>
      <c r="G87" s="55" t="s">
        <v>467</v>
      </c>
    </row>
    <row r="88" customFormat="false" ht="15" hidden="false" customHeight="true" outlineLevel="0" collapsed="false">
      <c r="A88" s="55" t="s">
        <v>468</v>
      </c>
      <c r="B88" s="55" t="s">
        <v>306</v>
      </c>
      <c r="C88" s="55" t="s">
        <v>421</v>
      </c>
      <c r="D88" s="55" t="s">
        <v>458</v>
      </c>
      <c r="E88" s="55" t="n">
        <v>2</v>
      </c>
      <c r="F88" s="55" t="s">
        <v>142</v>
      </c>
      <c r="G88" s="55" t="s">
        <v>469</v>
      </c>
    </row>
    <row r="89" customFormat="false" ht="15" hidden="false" customHeight="true" outlineLevel="0" collapsed="false">
      <c r="A89" s="55" t="s">
        <v>470</v>
      </c>
      <c r="B89" s="55" t="s">
        <v>306</v>
      </c>
      <c r="C89" s="55" t="s">
        <v>421</v>
      </c>
      <c r="D89" s="55" t="s">
        <v>458</v>
      </c>
      <c r="E89" s="55" t="n">
        <v>2</v>
      </c>
      <c r="F89" s="55" t="s">
        <v>142</v>
      </c>
      <c r="G89" s="55" t="s">
        <v>471</v>
      </c>
    </row>
    <row r="90" customFormat="false" ht="15" hidden="false" customHeight="true" outlineLevel="0" collapsed="false">
      <c r="A90" s="55" t="s">
        <v>472</v>
      </c>
      <c r="B90" s="55" t="s">
        <v>306</v>
      </c>
      <c r="C90" s="55" t="s">
        <v>300</v>
      </c>
      <c r="D90" s="55" t="s">
        <v>301</v>
      </c>
      <c r="E90" s="55" t="n">
        <v>2</v>
      </c>
      <c r="F90" s="55" t="s">
        <v>142</v>
      </c>
      <c r="G90" s="55" t="s">
        <v>473</v>
      </c>
    </row>
    <row r="91" customFormat="false" ht="15" hidden="false" customHeight="true" outlineLevel="0" collapsed="false">
      <c r="A91" s="55" t="s">
        <v>474</v>
      </c>
      <c r="B91" s="55" t="s">
        <v>299</v>
      </c>
      <c r="C91" s="55" t="s">
        <v>421</v>
      </c>
      <c r="D91" s="55" t="s">
        <v>458</v>
      </c>
      <c r="E91" s="55" t="n">
        <v>3</v>
      </c>
      <c r="F91" s="55" t="s">
        <v>145</v>
      </c>
      <c r="G91" s="55" t="s">
        <v>475</v>
      </c>
    </row>
    <row r="92" customFormat="false" ht="15" hidden="false" customHeight="true" outlineLevel="0" collapsed="false">
      <c r="A92" s="55" t="s">
        <v>476</v>
      </c>
      <c r="B92" s="55" t="s">
        <v>299</v>
      </c>
      <c r="C92" s="55" t="s">
        <v>421</v>
      </c>
      <c r="D92" s="55" t="s">
        <v>458</v>
      </c>
      <c r="E92" s="55" t="n">
        <v>3</v>
      </c>
      <c r="F92" s="55" t="s">
        <v>145</v>
      </c>
      <c r="G92" s="55" t="s">
        <v>477</v>
      </c>
    </row>
    <row r="93" customFormat="false" ht="15" hidden="false" customHeight="true" outlineLevel="0" collapsed="false">
      <c r="A93" s="55" t="s">
        <v>478</v>
      </c>
      <c r="B93" s="55" t="s">
        <v>299</v>
      </c>
      <c r="C93" s="55" t="s">
        <v>421</v>
      </c>
      <c r="D93" s="55" t="s">
        <v>458</v>
      </c>
      <c r="E93" s="55" t="n">
        <v>3</v>
      </c>
      <c r="F93" s="55" t="s">
        <v>145</v>
      </c>
      <c r="G93" s="55" t="s">
        <v>479</v>
      </c>
    </row>
    <row r="94" customFormat="false" ht="15" hidden="false" customHeight="true" outlineLevel="0" collapsed="false">
      <c r="A94" s="55" t="s">
        <v>480</v>
      </c>
      <c r="B94" s="55" t="s">
        <v>306</v>
      </c>
      <c r="C94" s="55" t="s">
        <v>300</v>
      </c>
      <c r="D94" s="55" t="s">
        <v>301</v>
      </c>
      <c r="E94" s="55" t="n">
        <v>1</v>
      </c>
      <c r="F94" s="55" t="s">
        <v>138</v>
      </c>
      <c r="G94" s="55" t="s">
        <v>481</v>
      </c>
    </row>
    <row r="95" customFormat="false" ht="15" hidden="false" customHeight="true" outlineLevel="0" collapsed="false">
      <c r="A95" s="55" t="s">
        <v>482</v>
      </c>
      <c r="B95" s="55" t="s">
        <v>306</v>
      </c>
      <c r="C95" s="55" t="s">
        <v>300</v>
      </c>
      <c r="D95" s="55" t="s">
        <v>301</v>
      </c>
      <c r="E95" s="55" t="n">
        <v>1</v>
      </c>
      <c r="F95" s="55" t="s">
        <v>138</v>
      </c>
      <c r="G95" s="55" t="s">
        <v>483</v>
      </c>
    </row>
    <row r="96" customFormat="false" ht="23.25" hidden="false" customHeight="true" outlineLevel="0" collapsed="false">
      <c r="A96" s="55" t="s">
        <v>484</v>
      </c>
      <c r="B96" s="55" t="s">
        <v>306</v>
      </c>
      <c r="C96" s="55" t="s">
        <v>300</v>
      </c>
      <c r="D96" s="55" t="s">
        <v>301</v>
      </c>
      <c r="E96" s="55" t="n">
        <v>2</v>
      </c>
      <c r="F96" s="55" t="s">
        <v>142</v>
      </c>
      <c r="G96" s="55" t="s">
        <v>485</v>
      </c>
    </row>
    <row r="97" customFormat="false" ht="23.25" hidden="false" customHeight="true" outlineLevel="0" collapsed="false">
      <c r="A97" s="55" t="s">
        <v>486</v>
      </c>
      <c r="B97" s="55" t="s">
        <v>446</v>
      </c>
      <c r="C97" s="55" t="s">
        <v>300</v>
      </c>
      <c r="D97" s="55" t="s">
        <v>301</v>
      </c>
      <c r="E97" s="55" t="n">
        <v>2</v>
      </c>
      <c r="F97" s="55" t="s">
        <v>142</v>
      </c>
      <c r="G97" s="55" t="s">
        <v>487</v>
      </c>
    </row>
    <row r="98" customFormat="false" ht="15" hidden="false" customHeight="true" outlineLevel="0" collapsed="false">
      <c r="A98" s="55" t="s">
        <v>488</v>
      </c>
      <c r="B98" s="55" t="s">
        <v>340</v>
      </c>
      <c r="C98" s="55" t="s">
        <v>421</v>
      </c>
      <c r="D98" s="55" t="s">
        <v>396</v>
      </c>
      <c r="E98" s="55" t="n">
        <v>3</v>
      </c>
      <c r="F98" s="55" t="s">
        <v>145</v>
      </c>
      <c r="G98" s="55" t="s">
        <v>489</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true" zeroHeight="false" outlineLevelRow="0" outlineLevelCol="0"/>
  <cols>
    <col collapsed="false" customWidth="true" hidden="false" outlineLevel="0" max="1" min="1" style="1" width="20"/>
    <col collapsed="false" customWidth="true" hidden="false" outlineLevel="0" max="2" min="2" style="1" width="100"/>
  </cols>
  <sheetData>
    <row r="1" customFormat="false" ht="15.75" hidden="false" customHeight="true" outlineLevel="0" collapsed="false">
      <c r="A1" s="35" t="s">
        <v>490</v>
      </c>
      <c r="B1" s="35"/>
    </row>
    <row r="2" customFormat="false" ht="159.75" hidden="false" customHeight="true" outlineLevel="0" collapsed="false">
      <c r="A2" s="56" t="s">
        <v>491</v>
      </c>
      <c r="B2" s="56"/>
    </row>
    <row r="4" customFormat="false" ht="15" hidden="false" customHeight="true" outlineLevel="0" collapsed="false">
      <c r="A4" s="17" t="s">
        <v>492</v>
      </c>
      <c r="B4" s="17"/>
    </row>
    <row r="5" customFormat="false" ht="21.75" hidden="false" customHeight="true" outlineLevel="0" collapsed="false">
      <c r="A5" s="47" t="s">
        <v>493</v>
      </c>
      <c r="B5" s="47"/>
    </row>
    <row r="7" customFormat="false" ht="15" hidden="false" customHeight="true" outlineLevel="0" collapsed="false">
      <c r="A7" s="17" t="s">
        <v>494</v>
      </c>
      <c r="B7" s="17"/>
    </row>
    <row r="8" customFormat="false" ht="21.75" hidden="false" customHeight="true" outlineLevel="0" collapsed="false">
      <c r="A8" s="47" t="s">
        <v>495</v>
      </c>
      <c r="B8" s="47"/>
    </row>
    <row r="10" customFormat="false" ht="15" hidden="false" customHeight="true" outlineLevel="0" collapsed="false">
      <c r="A10" s="17" t="s">
        <v>496</v>
      </c>
      <c r="B10" s="17"/>
    </row>
    <row r="11" customFormat="false" ht="53.25" hidden="false" customHeight="true" outlineLevel="0" collapsed="false">
      <c r="A11" s="47" t="s">
        <v>497</v>
      </c>
      <c r="B11" s="47"/>
    </row>
    <row r="13" customFormat="false" ht="15" hidden="false" customHeight="true" outlineLevel="0" collapsed="false">
      <c r="A13" s="17" t="s">
        <v>498</v>
      </c>
      <c r="B13" s="17"/>
    </row>
    <row r="14" customFormat="false" ht="126.75" hidden="false" customHeight="true" outlineLevel="0" collapsed="false">
      <c r="A14" s="47" t="s">
        <v>499</v>
      </c>
      <c r="B14" s="47"/>
    </row>
    <row r="16" customFormat="false" ht="15" hidden="false" customHeight="true" outlineLevel="0" collapsed="false">
      <c r="A16" s="17" t="s">
        <v>500</v>
      </c>
      <c r="B16" s="17"/>
    </row>
    <row r="17" customFormat="false" ht="32.25" hidden="false" customHeight="true" outlineLevel="0" collapsed="false">
      <c r="A17" s="47" t="s">
        <v>501</v>
      </c>
      <c r="B17" s="47"/>
    </row>
    <row r="19" customFormat="false" ht="15" hidden="false" customHeight="true" outlineLevel="0" collapsed="false">
      <c r="A19" s="17" t="s">
        <v>502</v>
      </c>
      <c r="B19" s="17"/>
    </row>
    <row r="20" customFormat="false" ht="32.25" hidden="false" customHeight="true" outlineLevel="0" collapsed="false">
      <c r="A20" s="57" t="s">
        <v>503</v>
      </c>
      <c r="B20" s="57"/>
    </row>
    <row r="22" customFormat="false" ht="15" hidden="false" customHeight="true" outlineLevel="0" collapsed="false">
      <c r="A22" s="17" t="s">
        <v>504</v>
      </c>
      <c r="B22" s="17"/>
    </row>
    <row r="23" customFormat="false" ht="53.25" hidden="false" customHeight="true" outlineLevel="0" collapsed="false">
      <c r="A23" s="47" t="s">
        <v>505</v>
      </c>
      <c r="B23" s="47"/>
    </row>
    <row r="25" customFormat="false" ht="15" hidden="false" customHeight="true" outlineLevel="0" collapsed="false">
      <c r="A25" s="17" t="s">
        <v>506</v>
      </c>
      <c r="B25" s="17"/>
    </row>
    <row r="26" customFormat="false" ht="32.25" hidden="false" customHeight="true" outlineLevel="0" collapsed="false">
      <c r="A26" s="47" t="s">
        <v>507</v>
      </c>
      <c r="B26" s="47"/>
    </row>
    <row r="28" customFormat="false" ht="15" hidden="false" customHeight="true" outlineLevel="0" collapsed="false">
      <c r="A28" s="17" t="s">
        <v>508</v>
      </c>
      <c r="B28" s="17"/>
    </row>
    <row r="29" customFormat="false" ht="63.75" hidden="false" customHeight="true" outlineLevel="0" collapsed="false">
      <c r="A29" s="47" t="s">
        <v>509</v>
      </c>
      <c r="B29" s="47"/>
    </row>
    <row r="31" customFormat="false" ht="15" hidden="false" customHeight="true" outlineLevel="0" collapsed="false">
      <c r="A31" s="17" t="s">
        <v>510</v>
      </c>
      <c r="B31" s="17"/>
    </row>
    <row r="32" customFormat="false" ht="53.25" hidden="false" customHeight="true" outlineLevel="0" collapsed="false">
      <c r="A32" s="47" t="s">
        <v>511</v>
      </c>
      <c r="B32" s="47"/>
    </row>
    <row r="34" customFormat="false" ht="15" hidden="false" customHeight="true" outlineLevel="0" collapsed="false">
      <c r="A34" s="17" t="s">
        <v>512</v>
      </c>
      <c r="B34" s="17"/>
    </row>
    <row r="35" customFormat="false" ht="53.25" hidden="false" customHeight="true" outlineLevel="0" collapsed="false">
      <c r="A35" s="47" t="s">
        <v>513</v>
      </c>
      <c r="B35" s="47"/>
    </row>
  </sheetData>
  <mergeCells count="24">
    <mergeCell ref="A1:B1"/>
    <mergeCell ref="A2:B2"/>
    <mergeCell ref="A4:B4"/>
    <mergeCell ref="A5:B5"/>
    <mergeCell ref="A7:B7"/>
    <mergeCell ref="A8:B8"/>
    <mergeCell ref="A10:B10"/>
    <mergeCell ref="A11:B11"/>
    <mergeCell ref="A13:B13"/>
    <mergeCell ref="A14:B14"/>
    <mergeCell ref="A16:B16"/>
    <mergeCell ref="A17:B17"/>
    <mergeCell ref="A19:B19"/>
    <mergeCell ref="A20:B20"/>
    <mergeCell ref="A22:B22"/>
    <mergeCell ref="A23:B23"/>
    <mergeCell ref="A25:B25"/>
    <mergeCell ref="A26:B26"/>
    <mergeCell ref="A28:B28"/>
    <mergeCell ref="A29:B29"/>
    <mergeCell ref="A31:B31"/>
    <mergeCell ref="A32:B32"/>
    <mergeCell ref="A34:B34"/>
    <mergeCell ref="A35:B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2026-03-17T09:34:03Z</dcterms:created>
  <dc:creator>openpyxl</dc:creator>
  <dc:description/>
  <dc:language>en-US</dc:language>
  <cp:lastModifiedBy>Aisha Sudally</cp:lastModifiedBy>
  <dcterms:modified xsi:type="dcterms:W3CDTF">2026-03-26T09:44:13Z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