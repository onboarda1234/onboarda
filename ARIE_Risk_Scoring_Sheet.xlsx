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ntity Types" sheetId="2" state="visible" r:id="rId4"/>
    <sheet name="Country Risk" sheetId="3" state="visible" r:id="rId5"/>
    <sheet name="Sector Risk" sheetId="4" state="visible" r:id="rId6"/>
    <sheet name="Dimension Detail" sheetId="5" state="visible" r:id="rId7"/>
    <sheet name="Score Calculat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<sst xmlns="http://schemas.openxmlformats.org/spreadsheetml/2006/main" count="359" uniqueCount="276">
  <si>
    <t xml:space="preserve">ARIE Finance — Risk Scoring Methodology</t>
  </si>
  <si>
    <t xml:space="preserve">Composite Risk Assessment Model — Version 2.0</t>
  </si>
  <si>
    <t xml:space="preserve">Updated: March 2026</t>
  </si>
  <si>
    <t xml:space="preserve">Formula</t>
  </si>
  <si>
    <t xml:space="preserve">Composite Score = (D1×w1 + D2×w2 + D3×w3 + D4×w4 + D5×w5) / (w1+w2+w3+w4+w5) × 25</t>
  </si>
  <si>
    <t xml:space="preserve">Each dimension (D1-D5) scores from 1 (low risk) to 4 (very high risk).</t>
  </si>
  <si>
    <t xml:space="preserve">The composite score maps to a 0-100 scale for classification.</t>
  </si>
  <si>
    <t xml:space="preserve">Classification Thresholds</t>
  </si>
  <si>
    <t xml:space="preserve">Risk Level</t>
  </si>
  <si>
    <t xml:space="preserve">Min Score</t>
  </si>
  <si>
    <t xml:space="preserve">Max Score</t>
  </si>
  <si>
    <t xml:space="preserve">Action</t>
  </si>
  <si>
    <t xml:space="preserve">Low Risk</t>
  </si>
  <si>
    <t xml:space="preserve">Auto-approve if ≤ 40</t>
  </si>
  <si>
    <t xml:space="preserve">Medium Risk</t>
  </si>
  <si>
    <t xml:space="preserve">Senior CO review</t>
  </si>
  <si>
    <t xml:space="preserve">High Risk</t>
  </si>
  <si>
    <t xml:space="preserve">Head of Compliance + Senior CO</t>
  </si>
  <si>
    <t xml:space="preserve">Very High Risk</t>
  </si>
  <si>
    <t xml:space="preserve">Board approval + EDD required</t>
  </si>
  <si>
    <t xml:space="preserve">Dimension Weights</t>
  </si>
  <si>
    <t xml:space="preserve">Dimension</t>
  </si>
  <si>
    <t xml:space="preserve">Name</t>
  </si>
  <si>
    <t xml:space="preserve">Weight (%)</t>
  </si>
  <si>
    <t xml:space="preserve">Sub-Criteria Count</t>
  </si>
  <si>
    <t xml:space="preserve">D1</t>
  </si>
  <si>
    <t xml:space="preserve">Customer / Entity Risk</t>
  </si>
  <si>
    <t xml:space="preserve">D2</t>
  </si>
  <si>
    <t xml:space="preserve">Geographic Risk</t>
  </si>
  <si>
    <t xml:space="preserve">D3</t>
  </si>
  <si>
    <t xml:space="preserve">Product / Service Risk</t>
  </si>
  <si>
    <t xml:space="preserve">D4</t>
  </si>
  <si>
    <t xml:space="preserve">Industry / Sector Risk</t>
  </si>
  <si>
    <t xml:space="preserve">D5</t>
  </si>
  <si>
    <t xml:space="preserve">Delivery Channel Risk</t>
  </si>
  <si>
    <t xml:space="preserve">Total</t>
  </si>
  <si>
    <t xml:space="preserve">D1 Sub-Criterion: Entity Type Risk Scores</t>
  </si>
  <si>
    <t xml:space="preserve">Used for Customer/Entity Risk dimension scoring</t>
  </si>
  <si>
    <t xml:space="preserve">Entity Type</t>
  </si>
  <si>
    <t xml:space="preserve">Risk Score (1-4)</t>
  </si>
  <si>
    <t xml:space="preserve">Listed Company</t>
  </si>
  <si>
    <t xml:space="preserve">Low</t>
  </si>
  <si>
    <t xml:space="preserve">Regulated Entity</t>
  </si>
  <si>
    <t xml:space="preserve">Government Body</t>
  </si>
  <si>
    <t xml:space="preserve">Large Private Company</t>
  </si>
  <si>
    <t xml:space="preserve">Medium</t>
  </si>
  <si>
    <t xml:space="preserve">SME</t>
  </si>
  <si>
    <t xml:space="preserve">Regulated Fund (CIS / Licensed)</t>
  </si>
  <si>
    <t xml:space="preserve">Newly Incorporated</t>
  </si>
  <si>
    <t xml:space="preserve">High</t>
  </si>
  <si>
    <t xml:space="preserve">Trust</t>
  </si>
  <si>
    <t xml:space="preserve">Foundation</t>
  </si>
  <si>
    <t xml:space="preserve">Non-Profit</t>
  </si>
  <si>
    <t xml:space="preserve">Unregulated Fund / SPV</t>
  </si>
  <si>
    <t xml:space="preserve">Very High</t>
  </si>
  <si>
    <t xml:space="preserve">Shell Company</t>
  </si>
  <si>
    <t xml:space="preserve">D2: Geographic Risk — Country Classifications</t>
  </si>
  <si>
    <t xml:space="preserve">Countries are scored based on FATF and international sanctions lists</t>
  </si>
  <si>
    <t xml:space="preserve">FATF Blacklist (Score 4 — Very High)</t>
  </si>
  <si>
    <t xml:space="preserve">Sanctioned Countries (Score 4 — Very High)</t>
  </si>
  <si>
    <t xml:space="preserve">Country</t>
  </si>
  <si>
    <t xml:space="preserve">Score</t>
  </si>
  <si>
    <t xml:space="preserve">Iran</t>
  </si>
  <si>
    <t xml:space="preserve">Afghanistan</t>
  </si>
  <si>
    <t xml:space="preserve">Myanmar</t>
  </si>
  <si>
    <t xml:space="preserve">Belarus</t>
  </si>
  <si>
    <t xml:space="preserve">North Korea (DPRK)</t>
  </si>
  <si>
    <t xml:space="preserve">Central African Republic</t>
  </si>
  <si>
    <t xml:space="preserve">Cuba</t>
  </si>
  <si>
    <t xml:space="preserve">Eritrea</t>
  </si>
  <si>
    <t xml:space="preserve">Iraq</t>
  </si>
  <si>
    <t xml:space="preserve">Lebanon</t>
  </si>
  <si>
    <t xml:space="preserve">Libya</t>
  </si>
  <si>
    <t xml:space="preserve">Russia</t>
  </si>
  <si>
    <t xml:space="preserve">Somalia</t>
  </si>
  <si>
    <t xml:space="preserve">South Sudan</t>
  </si>
  <si>
    <t xml:space="preserve">Sudan</t>
  </si>
  <si>
    <t xml:space="preserve">Syria</t>
  </si>
  <si>
    <t xml:space="preserve">Ukraine (Crimea/Donetsk/Luhansk)</t>
  </si>
  <si>
    <t xml:space="preserve">Venezuela</t>
  </si>
  <si>
    <t xml:space="preserve">Yemen</t>
  </si>
  <si>
    <t xml:space="preserve">Zimbabwe</t>
  </si>
  <si>
    <t xml:space="preserve">FATF Grey List (Score 3 — High)</t>
  </si>
  <si>
    <t xml:space="preserve">Low-Risk Countries (Score 1 — Low)</t>
  </si>
  <si>
    <t xml:space="preserve">Bulgaria</t>
  </si>
  <si>
    <t xml:space="preserve">Australia</t>
  </si>
  <si>
    <t xml:space="preserve">Burkina Faso</t>
  </si>
  <si>
    <t xml:space="preserve">Austria</t>
  </si>
  <si>
    <t xml:space="preserve">Cameroon</t>
  </si>
  <si>
    <t xml:space="preserve">Belgium</t>
  </si>
  <si>
    <t xml:space="preserve">Croatia</t>
  </si>
  <si>
    <t xml:space="preserve">Canada</t>
  </si>
  <si>
    <t xml:space="preserve">DR Congo</t>
  </si>
  <si>
    <t xml:space="preserve">Denmark</t>
  </si>
  <si>
    <t xml:space="preserve">Haiti</t>
  </si>
  <si>
    <t xml:space="preserve">Finland</t>
  </si>
  <si>
    <t xml:space="preserve">Kenya</t>
  </si>
  <si>
    <t xml:space="preserve">France</t>
  </si>
  <si>
    <t xml:space="preserve">Mali</t>
  </si>
  <si>
    <t xml:space="preserve">Germany</t>
  </si>
  <si>
    <t xml:space="preserve">Monaco</t>
  </si>
  <si>
    <t xml:space="preserve">Hong Kong</t>
  </si>
  <si>
    <t xml:space="preserve">Mozambique</t>
  </si>
  <si>
    <t xml:space="preserve">Iceland</t>
  </si>
  <si>
    <t xml:space="preserve">Namibia</t>
  </si>
  <si>
    <t xml:space="preserve">Ireland</t>
  </si>
  <si>
    <t xml:space="preserve">Nigeria</t>
  </si>
  <si>
    <t xml:space="preserve">Israel</t>
  </si>
  <si>
    <t xml:space="preserve">Philippines</t>
  </si>
  <si>
    <t xml:space="preserve">Italy</t>
  </si>
  <si>
    <t xml:space="preserve">Senegal</t>
  </si>
  <si>
    <t xml:space="preserve">Japan</t>
  </si>
  <si>
    <t xml:space="preserve">South Africa</t>
  </si>
  <si>
    <t xml:space="preserve">Luxembourg</t>
  </si>
  <si>
    <t xml:space="preserve">Netherlands</t>
  </si>
  <si>
    <t xml:space="preserve">New Zealand</t>
  </si>
  <si>
    <t xml:space="preserve">Tanzania</t>
  </si>
  <si>
    <t xml:space="preserve">Norway</t>
  </si>
  <si>
    <t xml:space="preserve">Portugal</t>
  </si>
  <si>
    <t xml:space="preserve">Vietnam</t>
  </si>
  <si>
    <t xml:space="preserve">Singapore</t>
  </si>
  <si>
    <t xml:space="preserve">South Korea</t>
  </si>
  <si>
    <t xml:space="preserve">Spain</t>
  </si>
  <si>
    <t xml:space="preserve">Sweden</t>
  </si>
  <si>
    <t xml:space="preserve">Switzerland</t>
  </si>
  <si>
    <t xml:space="preserve">Taiwan</t>
  </si>
  <si>
    <t xml:space="preserve">United Kingdom</t>
  </si>
  <si>
    <t xml:space="preserve">United States</t>
  </si>
  <si>
    <t xml:space="preserve">Note: All other countries not listed above default to Score 2 (Standard Risk).</t>
  </si>
  <si>
    <t xml:space="preserve">D4: Industry / Sector Risk Scores</t>
  </si>
  <si>
    <t xml:space="preserve">Business sectors scored 1 (low) to 4 (very high) based on ML/TF risk exposure</t>
  </si>
  <si>
    <t xml:space="preserve">Business Sector</t>
  </si>
  <si>
    <t xml:space="preserve">Rationale</t>
  </si>
  <si>
    <t xml:space="preserve">Manufacturing</t>
  </si>
  <si>
    <t xml:space="preserve">Regulated, low ML/TF exposure</t>
  </si>
  <si>
    <t xml:space="preserve">Retail / Consumer Goods</t>
  </si>
  <si>
    <t xml:space="preserve">Low cash intensity, regulated</t>
  </si>
  <si>
    <t xml:space="preserve">Agriculture / Food</t>
  </si>
  <si>
    <t xml:space="preserve">Standard trade flows</t>
  </si>
  <si>
    <t xml:space="preserve">Education</t>
  </si>
  <si>
    <t xml:space="preserve">Low ML/TF risk profile</t>
  </si>
  <si>
    <t xml:space="preserve">Government / Public Sector</t>
  </si>
  <si>
    <t xml:space="preserve">Government accountability</t>
  </si>
  <si>
    <t xml:space="preserve">Banking / Financial Services</t>
  </si>
  <si>
    <t xml:space="preserve">Regulated but ML/TF vector</t>
  </si>
  <si>
    <t xml:space="preserve">Insurance</t>
  </si>
  <si>
    <t xml:space="preserve">Regulated, moderate risk</t>
  </si>
  <si>
    <t xml:space="preserve">Technology / SaaS</t>
  </si>
  <si>
    <t xml:space="preserve">Low cash, moderate complexity</t>
  </si>
  <si>
    <t xml:space="preserve">Healthcare / Pharmaceutical</t>
  </si>
  <si>
    <t xml:space="preserve">Regulated industry</t>
  </si>
  <si>
    <t xml:space="preserve">Telecommunications</t>
  </si>
  <si>
    <t xml:space="preserve">Standard risk profile</t>
  </si>
  <si>
    <t xml:space="preserve">Construction / Infrastructure</t>
  </si>
  <si>
    <t xml:space="preserve">Moderate cash flow risk</t>
  </si>
  <si>
    <t xml:space="preserve">Media / Entertainment</t>
  </si>
  <si>
    <t xml:space="preserve">Moderate risk profile</t>
  </si>
  <si>
    <t xml:space="preserve">Fintech / E-Money</t>
  </si>
  <si>
    <t xml:space="preserve">Rapid movement of funds, AML risk</t>
  </si>
  <si>
    <t xml:space="preserve">Real Estate</t>
  </si>
  <si>
    <t xml:space="preserve">High-value transactions, layering risk</t>
  </si>
  <si>
    <t xml:space="preserve">Professional Services (Legal/Accounting)</t>
  </si>
  <si>
    <t xml:space="preserve">Gatekeeper risk, trust accounts</t>
  </si>
  <si>
    <t xml:space="preserve">Management Consulting</t>
  </si>
  <si>
    <t xml:space="preserve">Complex fee structures, cross-border</t>
  </si>
  <si>
    <t xml:space="preserve">Financial / Tax Advisory</t>
  </si>
  <si>
    <t xml:space="preserve">Tax structuring, cross-border flows</t>
  </si>
  <si>
    <t xml:space="preserve">Energy / Mining</t>
  </si>
  <si>
    <t xml:space="preserve">Corruption, sanctions exposure</t>
  </si>
  <si>
    <t xml:space="preserve">Non-Profit / NGO</t>
  </si>
  <si>
    <t xml:space="preserve">Terrorism financing vector</t>
  </si>
  <si>
    <t xml:space="preserve">Shipping / Maritime / Logistics</t>
  </si>
  <si>
    <t xml:space="preserve">Sanctions evasion, complex chains</t>
  </si>
  <si>
    <t xml:space="preserve">Import / Export Trading</t>
  </si>
  <si>
    <t xml:space="preserve">Trade-based ML risk</t>
  </si>
  <si>
    <t xml:space="preserve">Crypto / Virtual Assets</t>
  </si>
  <si>
    <t xml:space="preserve">Pseudonymity, rapid cross-border</t>
  </si>
  <si>
    <t xml:space="preserve">Gaming / Gambling</t>
  </si>
  <si>
    <t xml:space="preserve">Cash-intensive, layering</t>
  </si>
  <si>
    <t xml:space="preserve">Arms / Defence</t>
  </si>
  <si>
    <t xml:space="preserve">Sanctions, corruption risk</t>
  </si>
  <si>
    <t xml:space="preserve">Money Service Business (MSB)</t>
  </si>
  <si>
    <t xml:space="preserve">Cash-intensive, limited transparency</t>
  </si>
  <si>
    <t xml:space="preserve">Precious Metals / Stones</t>
  </si>
  <si>
    <t xml:space="preserve">High-value portable assets, TBML</t>
  </si>
  <si>
    <t xml:space="preserve">Full Sub-Criteria Scoring Matrix</t>
  </si>
  <si>
    <t xml:space="preserve">All 5 dimensions with sub-criteria, weights, and score definitions</t>
  </si>
  <si>
    <t xml:space="preserve">D1: Customer / Entity Risk (Weight: 30%)</t>
  </si>
  <si>
    <t xml:space="preserve">Sub-Criterion</t>
  </si>
  <si>
    <t xml:space="preserve">Score 1 (Low)</t>
  </si>
  <si>
    <t xml:space="preserve">Score 2 (Medium)</t>
  </si>
  <si>
    <t xml:space="preserve">Score 3 (High)</t>
  </si>
  <si>
    <t xml:space="preserve">Score 4 (Very High)</t>
  </si>
  <si>
    <t xml:space="preserve">Listed/Regulated/Gov</t>
  </si>
  <si>
    <t xml:space="preserve">Large Private/SME/Reg Fund</t>
  </si>
  <si>
    <t xml:space="preserve">Newly Inc/Trust/Foundation/Non-Profit</t>
  </si>
  <si>
    <t xml:space="preserve">Unreg Fund/SPV/Shell</t>
  </si>
  <si>
    <t xml:space="preserve">Ownership Structure</t>
  </si>
  <si>
    <t xml:space="preserve">Simple direct</t>
  </si>
  <si>
    <t xml:space="preserve">1-2 layers</t>
  </si>
  <si>
    <t xml:space="preserve">3+ layers</t>
  </si>
  <si>
    <t xml:space="preserve">Complex/Nominee</t>
  </si>
  <si>
    <t xml:space="preserve">PEP Status</t>
  </si>
  <si>
    <t xml:space="preserve">No PEP</t>
  </si>
  <si>
    <t xml:space="preserve">Domestic PEP</t>
  </si>
  <si>
    <t xml:space="preserve">Foreign PEP / RCA</t>
  </si>
  <si>
    <t xml:space="preserve">Head of State / Senior</t>
  </si>
  <si>
    <t xml:space="preserve">Adverse Media</t>
  </si>
  <si>
    <t xml:space="preserve">None</t>
  </si>
  <si>
    <t xml:space="preserve">Minor / old</t>
  </si>
  <si>
    <t xml:space="preserve">Moderate / recent</t>
  </si>
  <si>
    <t xml:space="preserve">Significant / criminal</t>
  </si>
  <si>
    <t xml:space="preserve">Source of Wealth</t>
  </si>
  <si>
    <t xml:space="preserve">Business revenue</t>
  </si>
  <si>
    <t xml:space="preserve">Sale of assets / VC</t>
  </si>
  <si>
    <t xml:space="preserve">Inheritance / Loan</t>
  </si>
  <si>
    <t xml:space="preserve">Unknown / Other</t>
  </si>
  <si>
    <t xml:space="preserve">Source of Funds</t>
  </si>
  <si>
    <t xml:space="preserve">Company transfer</t>
  </si>
  <si>
    <t xml:space="preserve">Shareholder / Investment</t>
  </si>
  <si>
    <t xml:space="preserve">Sale of assets</t>
  </si>
  <si>
    <t xml:space="preserve">Loan / Other</t>
  </si>
  <si>
    <t xml:space="preserve">D2: Geographic Risk (Weight: 25%)</t>
  </si>
  <si>
    <t xml:space="preserve">Country of Incorporation</t>
  </si>
  <si>
    <t xml:space="preserve">FATF/Low-risk</t>
  </si>
  <si>
    <t xml:space="preserve">Standard</t>
  </si>
  <si>
    <t xml:space="preserve">FATF Grey List</t>
  </si>
  <si>
    <t xml:space="preserve">Black/Sanctioned</t>
  </si>
  <si>
    <t xml:space="preserve">Countries of Operation</t>
  </si>
  <si>
    <t xml:space="preserve">Low-risk only</t>
  </si>
  <si>
    <t xml:space="preserve">Mix incl. standard</t>
  </si>
  <si>
    <t xml:space="preserve">FATF Grey</t>
  </si>
  <si>
    <t xml:space="preserve">Sanctioned</t>
  </si>
  <si>
    <t xml:space="preserve">Target Markets</t>
  </si>
  <si>
    <t xml:space="preserve">D3: Product / Service Risk (Weight: 20%)</t>
  </si>
  <si>
    <t xml:space="preserve">Service Type</t>
  </si>
  <si>
    <t xml:space="preserve">Domestic payments</t>
  </si>
  <si>
    <t xml:space="preserve">Multi-currency</t>
  </si>
  <si>
    <t xml:space="preserve">Cross-border</t>
  </si>
  <si>
    <t xml:space="preserve">Correspondent/Nested</t>
  </si>
  <si>
    <t xml:space="preserve">Monthly Volume</t>
  </si>
  <si>
    <t xml:space="preserve">&lt;50K USD</t>
  </si>
  <si>
    <t xml:space="preserve">50K-500K USD</t>
  </si>
  <si>
    <t xml:space="preserve">500K-5M USD</t>
  </si>
  <si>
    <t xml:space="preserve">&gt;5M USD</t>
  </si>
  <si>
    <t xml:space="preserve">Transaction Complexity</t>
  </si>
  <si>
    <t xml:space="preserve">Simple</t>
  </si>
  <si>
    <t xml:space="preserve">Complex</t>
  </si>
  <si>
    <t xml:space="preserve">Very Complex</t>
  </si>
  <si>
    <t xml:space="preserve">D4: Industry / Sector Risk (Weight: 15%)</t>
  </si>
  <si>
    <t xml:space="preserve">Industry Sector</t>
  </si>
  <si>
    <t xml:space="preserve">Gov/Regulated/Listed</t>
  </si>
  <si>
    <t xml:space="preserve">Tech/Healthcare/Retail</t>
  </si>
  <si>
    <t xml:space="preserve">Real Estate/MSB/Mining</t>
  </si>
  <si>
    <t xml:space="preserve">Crypto/Gambling/Arms</t>
  </si>
  <si>
    <t xml:space="preserve">D5: Delivery Channel Risk (Weight: 10%)</t>
  </si>
  <si>
    <t xml:space="preserve">Introduction Method</t>
  </si>
  <si>
    <t xml:space="preserve">Direct / Regulated Intermediary</t>
  </si>
  <si>
    <t xml:space="preserve">—</t>
  </si>
  <si>
    <t xml:space="preserve">Non-regulated intermediary</t>
  </si>
  <si>
    <t xml:space="preserve">Unsolicited / Anonymous</t>
  </si>
  <si>
    <t xml:space="preserve">Delivery Channel</t>
  </si>
  <si>
    <t xml:space="preserve">Face-to-face</t>
  </si>
  <si>
    <t xml:space="preserve">Online verified</t>
  </si>
  <si>
    <t xml:space="preserve">Non face-to-face</t>
  </si>
  <si>
    <t xml:space="preserve">Anonymous / Unknown</t>
  </si>
  <si>
    <t xml:space="preserve">Risk Score Calculator</t>
  </si>
  <si>
    <t xml:space="preserve">Enter dimension scores (1-4) to calculate composite risk score</t>
  </si>
  <si>
    <t xml:space="preserve">Score (1-4)</t>
  </si>
  <si>
    <t xml:space="preserve">Weighted Score</t>
  </si>
  <si>
    <t xml:space="preserve">D1: Customer / Entity Risk</t>
  </si>
  <si>
    <t xml:space="preserve">D2: Geographic Risk</t>
  </si>
  <si>
    <t xml:space="preserve">D3: Product / Service Risk</t>
  </si>
  <si>
    <t xml:space="preserve">D4: Industry / Sector Risk</t>
  </si>
  <si>
    <t xml:space="preserve">D5: Delivery Channel Risk</t>
  </si>
  <si>
    <t xml:space="preserve">Composite Score (0-100)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</si>
</sst>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B2F8F"/>
      <name val="Arial"/>
      <family val="0"/>
      <charset val="1"/>
    </font>
    <font>
      <sz val="12"/>
      <color rgb="FF666666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2"/>
      <color rgb="FF2B2F8F"/>
      <name val="Arial"/>
      <family val="0"/>
      <charset val="1"/>
    </font>
    <font>
      <sz val="11"/>
      <name val="Consolas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B2F8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B2F8F"/>
        <bgColor rgb="FF003366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16A34A"/>
        <bgColor rgb="FF008080"/>
      </patternFill>
    </fill>
    <fill>
      <patternFill patternType="solid">
        <fgColor rgb="FF2563EB"/>
        <bgColor rgb="FF0066CC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3E0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66666"/>
      <rgbColor rgb="FF999999"/>
      <rgbColor rgb="FF003366"/>
      <rgbColor rgb="FF16A34A"/>
      <rgbColor rgb="FF003300"/>
      <rgbColor rgb="FF333300"/>
      <rgbColor rgb="FF993300"/>
      <rgbColor rgb="FF993366"/>
      <rgbColor rgb="FF2B2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F8F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33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6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7" t="s">
        <v>8</v>
      </c>
      <c r="B12" s="7" t="s">
        <v>9</v>
      </c>
      <c r="C12" s="7" t="s">
        <v>10</v>
      </c>
      <c r="D12" s="7" t="s">
        <v>11</v>
      </c>
    </row>
    <row r="13" customFormat="false" ht="15" hidden="false" customHeight="false" outlineLevel="0" collapsed="false">
      <c r="A13" s="8" t="s">
        <v>12</v>
      </c>
      <c r="B13" s="9" t="n">
        <v>0</v>
      </c>
      <c r="C13" s="9" t="n">
        <v>39.9</v>
      </c>
      <c r="D13" s="9" t="s">
        <v>13</v>
      </c>
    </row>
    <row r="14" customFormat="false" ht="15" hidden="false" customHeight="false" outlineLevel="0" collapsed="false">
      <c r="A14" s="10" t="s">
        <v>14</v>
      </c>
      <c r="B14" s="9" t="n">
        <v>40</v>
      </c>
      <c r="C14" s="9" t="n">
        <v>54.9</v>
      </c>
      <c r="D14" s="9" t="s">
        <v>15</v>
      </c>
    </row>
    <row r="15" customFormat="false" ht="15" hidden="false" customHeight="false" outlineLevel="0" collapsed="false">
      <c r="A15" s="11" t="s">
        <v>16</v>
      </c>
      <c r="B15" s="9" t="n">
        <v>55</v>
      </c>
      <c r="C15" s="9" t="n">
        <v>69.9</v>
      </c>
      <c r="D15" s="9" t="s">
        <v>17</v>
      </c>
    </row>
    <row r="16" customFormat="false" ht="15" hidden="false" customHeight="false" outlineLevel="0" collapsed="false">
      <c r="A16" s="12" t="s">
        <v>18</v>
      </c>
      <c r="B16" s="9" t="n">
        <v>70</v>
      </c>
      <c r="C16" s="9" t="n">
        <v>100</v>
      </c>
      <c r="D16" s="9" t="s">
        <v>19</v>
      </c>
    </row>
    <row r="18" customFormat="false" ht="15" hidden="false" customHeight="false" outlineLevel="0" collapsed="false">
      <c r="A18" s="4" t="s">
        <v>20</v>
      </c>
    </row>
    <row r="19" customFormat="false" ht="15" hidden="false" customHeight="false" outlineLevel="0" collapsed="false">
      <c r="A19" s="7" t="s">
        <v>21</v>
      </c>
      <c r="B19" s="7" t="s">
        <v>22</v>
      </c>
      <c r="C19" s="7" t="s">
        <v>23</v>
      </c>
      <c r="D19" s="7" t="s">
        <v>24</v>
      </c>
    </row>
    <row r="20" customFormat="false" ht="15" hidden="false" customHeight="false" outlineLevel="0" collapsed="false">
      <c r="A20" s="9" t="s">
        <v>25</v>
      </c>
      <c r="B20" s="9" t="s">
        <v>26</v>
      </c>
      <c r="C20" s="9" t="n">
        <v>30</v>
      </c>
      <c r="D20" s="9" t="n">
        <v>6</v>
      </c>
    </row>
    <row r="21" customFormat="false" ht="15" hidden="false" customHeight="false" outlineLevel="0" collapsed="false">
      <c r="A21" s="9" t="s">
        <v>27</v>
      </c>
      <c r="B21" s="9" t="s">
        <v>28</v>
      </c>
      <c r="C21" s="9" t="n">
        <v>25</v>
      </c>
      <c r="D21" s="9" t="n">
        <v>3</v>
      </c>
    </row>
    <row r="22" customFormat="false" ht="15" hidden="false" customHeight="false" outlineLevel="0" collapsed="false">
      <c r="A22" s="9" t="s">
        <v>29</v>
      </c>
      <c r="B22" s="9" t="s">
        <v>30</v>
      </c>
      <c r="C22" s="9" t="n">
        <v>20</v>
      </c>
      <c r="D22" s="9" t="n">
        <v>3</v>
      </c>
    </row>
    <row r="23" customFormat="false" ht="15" hidden="false" customHeight="false" outlineLevel="0" collapsed="false">
      <c r="A23" s="9" t="s">
        <v>31</v>
      </c>
      <c r="B23" s="9" t="s">
        <v>32</v>
      </c>
      <c r="C23" s="9" t="n">
        <v>15</v>
      </c>
      <c r="D23" s="9" t="n">
        <v>1</v>
      </c>
    </row>
    <row r="24" customFormat="false" ht="15" hidden="false" customHeight="false" outlineLevel="0" collapsed="false">
      <c r="A24" s="9" t="s">
        <v>33</v>
      </c>
      <c r="B24" s="9" t="s">
        <v>34</v>
      </c>
      <c r="C24" s="9" t="n">
        <v>10</v>
      </c>
      <c r="D24" s="9" t="n">
        <v>2</v>
      </c>
    </row>
    <row r="25" customFormat="false" ht="15" hidden="false" customHeight="false" outlineLevel="0" collapsed="false">
      <c r="A25" s="13"/>
      <c r="B25" s="13" t="s">
        <v>35</v>
      </c>
      <c r="C25" s="13" t="n">
        <f aca="false">SUM(C20:C24)</f>
        <v>100</v>
      </c>
      <c r="D2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9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4" t="s">
        <v>36</v>
      </c>
    </row>
    <row r="2" customFormat="false" ht="15" hidden="false" customHeight="false" outlineLevel="0" collapsed="false">
      <c r="A2" s="15" t="s">
        <v>37</v>
      </c>
    </row>
    <row r="4" customFormat="false" ht="15" hidden="false" customHeight="false" outlineLevel="0" collapsed="false">
      <c r="A4" s="7" t="s">
        <v>38</v>
      </c>
      <c r="B4" s="7" t="s">
        <v>39</v>
      </c>
      <c r="C4" s="7" t="s">
        <v>8</v>
      </c>
    </row>
    <row r="5" customFormat="false" ht="15" hidden="false" customHeight="false" outlineLevel="0" collapsed="false">
      <c r="A5" s="9" t="s">
        <v>40</v>
      </c>
      <c r="B5" s="16" t="n">
        <v>1</v>
      </c>
      <c r="C5" s="17" t="s">
        <v>41</v>
      </c>
    </row>
    <row r="6" customFormat="false" ht="15" hidden="false" customHeight="false" outlineLevel="0" collapsed="false">
      <c r="A6" s="9" t="s">
        <v>42</v>
      </c>
      <c r="B6" s="16" t="n">
        <v>1</v>
      </c>
      <c r="C6" s="17" t="s">
        <v>41</v>
      </c>
    </row>
    <row r="7" customFormat="false" ht="15" hidden="false" customHeight="false" outlineLevel="0" collapsed="false">
      <c r="A7" s="9" t="s">
        <v>43</v>
      </c>
      <c r="B7" s="16" t="n">
        <v>1</v>
      </c>
      <c r="C7" s="17" t="s">
        <v>41</v>
      </c>
    </row>
    <row r="8" customFormat="false" ht="15" hidden="false" customHeight="false" outlineLevel="0" collapsed="false">
      <c r="A8" s="9" t="s">
        <v>44</v>
      </c>
      <c r="B8" s="18" t="n">
        <v>2</v>
      </c>
      <c r="C8" s="19" t="s">
        <v>45</v>
      </c>
    </row>
    <row r="9" customFormat="false" ht="15" hidden="false" customHeight="false" outlineLevel="0" collapsed="false">
      <c r="A9" s="9" t="s">
        <v>46</v>
      </c>
      <c r="B9" s="18" t="n">
        <v>2</v>
      </c>
      <c r="C9" s="19" t="s">
        <v>45</v>
      </c>
    </row>
    <row r="10" customFormat="false" ht="15" hidden="false" customHeight="false" outlineLevel="0" collapsed="false">
      <c r="A10" s="9" t="s">
        <v>47</v>
      </c>
      <c r="B10" s="18" t="n">
        <v>2</v>
      </c>
      <c r="C10" s="19" t="s">
        <v>45</v>
      </c>
    </row>
    <row r="11" customFormat="false" ht="15" hidden="false" customHeight="false" outlineLevel="0" collapsed="false">
      <c r="A11" s="9" t="s">
        <v>48</v>
      </c>
      <c r="B11" s="20" t="n">
        <v>3</v>
      </c>
      <c r="C11" s="21" t="s">
        <v>49</v>
      </c>
    </row>
    <row r="12" customFormat="false" ht="15" hidden="false" customHeight="false" outlineLevel="0" collapsed="false">
      <c r="A12" s="9" t="s">
        <v>50</v>
      </c>
      <c r="B12" s="20" t="n">
        <v>3</v>
      </c>
      <c r="C12" s="21" t="s">
        <v>49</v>
      </c>
    </row>
    <row r="13" customFormat="false" ht="15" hidden="false" customHeight="false" outlineLevel="0" collapsed="false">
      <c r="A13" s="9" t="s">
        <v>51</v>
      </c>
      <c r="B13" s="20" t="n">
        <v>3</v>
      </c>
      <c r="C13" s="21" t="s">
        <v>49</v>
      </c>
    </row>
    <row r="14" customFormat="false" ht="15" hidden="false" customHeight="false" outlineLevel="0" collapsed="false">
      <c r="A14" s="9" t="s">
        <v>52</v>
      </c>
      <c r="B14" s="20" t="n">
        <v>3</v>
      </c>
      <c r="C14" s="21" t="s">
        <v>49</v>
      </c>
    </row>
    <row r="15" customFormat="false" ht="15" hidden="false" customHeight="false" outlineLevel="0" collapsed="false">
      <c r="A15" s="9" t="s">
        <v>53</v>
      </c>
      <c r="B15" s="22" t="n">
        <v>4</v>
      </c>
      <c r="C15" s="23" t="s">
        <v>54</v>
      </c>
    </row>
    <row r="16" customFormat="false" ht="15" hidden="false" customHeight="false" outlineLevel="0" collapsed="false">
      <c r="A16" s="9" t="s">
        <v>55</v>
      </c>
      <c r="B16" s="22" t="n">
        <v>4</v>
      </c>
      <c r="C16" s="2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4" t="s">
        <v>56</v>
      </c>
    </row>
    <row r="2" customFormat="false" ht="15" hidden="false" customHeight="false" outlineLevel="0" collapsed="false">
      <c r="A2" s="15" t="s">
        <v>57</v>
      </c>
    </row>
    <row r="4" customFormat="false" ht="15" hidden="false" customHeight="false" outlineLevel="0" collapsed="false">
      <c r="A4" s="24" t="s">
        <v>58</v>
      </c>
      <c r="C4" s="24" t="s">
        <v>59</v>
      </c>
    </row>
    <row r="5" customFormat="false" ht="15" hidden="false" customHeight="false" outlineLevel="0" collapsed="false">
      <c r="A5" s="7" t="s">
        <v>60</v>
      </c>
      <c r="B5" s="7" t="s">
        <v>61</v>
      </c>
      <c r="C5" s="7" t="s">
        <v>60</v>
      </c>
      <c r="D5" s="7" t="s">
        <v>61</v>
      </c>
    </row>
    <row r="6" customFormat="false" ht="15" hidden="false" customHeight="false" outlineLevel="0" collapsed="false">
      <c r="A6" s="9" t="s">
        <v>62</v>
      </c>
      <c r="B6" s="22" t="n">
        <v>4</v>
      </c>
      <c r="C6" s="9" t="s">
        <v>63</v>
      </c>
      <c r="D6" s="22" t="n">
        <v>4</v>
      </c>
    </row>
    <row r="7" customFormat="false" ht="15" hidden="false" customHeight="false" outlineLevel="0" collapsed="false">
      <c r="A7" s="9" t="s">
        <v>64</v>
      </c>
      <c r="B7" s="22" t="n">
        <v>4</v>
      </c>
      <c r="C7" s="9" t="s">
        <v>65</v>
      </c>
      <c r="D7" s="22" t="n">
        <v>4</v>
      </c>
    </row>
    <row r="8" customFormat="false" ht="15" hidden="false" customHeight="false" outlineLevel="0" collapsed="false">
      <c r="A8" s="9" t="s">
        <v>66</v>
      </c>
      <c r="B8" s="22" t="n">
        <v>4</v>
      </c>
      <c r="C8" s="9" t="s">
        <v>67</v>
      </c>
      <c r="D8" s="22" t="n">
        <v>4</v>
      </c>
    </row>
    <row r="9" customFormat="false" ht="15" hidden="false" customHeight="false" outlineLevel="0" collapsed="false">
      <c r="C9" s="9" t="s">
        <v>68</v>
      </c>
      <c r="D9" s="22" t="n">
        <v>4</v>
      </c>
    </row>
    <row r="10" customFormat="false" ht="15" hidden="false" customHeight="false" outlineLevel="0" collapsed="false">
      <c r="C10" s="9" t="s">
        <v>69</v>
      </c>
      <c r="D10" s="22" t="n">
        <v>4</v>
      </c>
    </row>
    <row r="11" customFormat="false" ht="15" hidden="false" customHeight="false" outlineLevel="0" collapsed="false">
      <c r="C11" s="9" t="s">
        <v>70</v>
      </c>
      <c r="D11" s="22" t="n">
        <v>4</v>
      </c>
    </row>
    <row r="12" customFormat="false" ht="15" hidden="false" customHeight="false" outlineLevel="0" collapsed="false">
      <c r="C12" s="9" t="s">
        <v>71</v>
      </c>
      <c r="D12" s="22" t="n">
        <v>4</v>
      </c>
    </row>
    <row r="13" customFormat="false" ht="15" hidden="false" customHeight="false" outlineLevel="0" collapsed="false">
      <c r="C13" s="9" t="s">
        <v>72</v>
      </c>
      <c r="D13" s="22" t="n">
        <v>4</v>
      </c>
    </row>
    <row r="14" customFormat="false" ht="15" hidden="false" customHeight="false" outlineLevel="0" collapsed="false">
      <c r="C14" s="9" t="s">
        <v>66</v>
      </c>
      <c r="D14" s="22" t="n">
        <v>4</v>
      </c>
    </row>
    <row r="15" customFormat="false" ht="15" hidden="false" customHeight="false" outlineLevel="0" collapsed="false">
      <c r="C15" s="9" t="s">
        <v>73</v>
      </c>
      <c r="D15" s="22" t="n">
        <v>4</v>
      </c>
    </row>
    <row r="16" customFormat="false" ht="15" hidden="false" customHeight="false" outlineLevel="0" collapsed="false">
      <c r="C16" s="9" t="s">
        <v>74</v>
      </c>
      <c r="D16" s="22" t="n">
        <v>4</v>
      </c>
    </row>
    <row r="17" customFormat="false" ht="15" hidden="false" customHeight="false" outlineLevel="0" collapsed="false">
      <c r="C17" s="9" t="s">
        <v>75</v>
      </c>
      <c r="D17" s="22" t="n">
        <v>4</v>
      </c>
    </row>
    <row r="18" customFormat="false" ht="15" hidden="false" customHeight="false" outlineLevel="0" collapsed="false">
      <c r="C18" s="9" t="s">
        <v>76</v>
      </c>
      <c r="D18" s="22" t="n">
        <v>4</v>
      </c>
    </row>
    <row r="19" customFormat="false" ht="15" hidden="false" customHeight="false" outlineLevel="0" collapsed="false">
      <c r="C19" s="9" t="s">
        <v>77</v>
      </c>
      <c r="D19" s="22" t="n">
        <v>4</v>
      </c>
    </row>
    <row r="20" customFormat="false" ht="15" hidden="false" customHeight="false" outlineLevel="0" collapsed="false">
      <c r="C20" s="9" t="s">
        <v>78</v>
      </c>
      <c r="D20" s="22" t="n">
        <v>4</v>
      </c>
    </row>
    <row r="21" customFormat="false" ht="15" hidden="false" customHeight="false" outlineLevel="0" collapsed="false">
      <c r="C21" s="9" t="s">
        <v>79</v>
      </c>
      <c r="D21" s="22" t="n">
        <v>4</v>
      </c>
    </row>
    <row r="22" customFormat="false" ht="15" hidden="false" customHeight="false" outlineLevel="0" collapsed="false">
      <c r="C22" s="9" t="s">
        <v>80</v>
      </c>
      <c r="D22" s="22" t="n">
        <v>4</v>
      </c>
    </row>
    <row r="23" customFormat="false" ht="15" hidden="false" customHeight="false" outlineLevel="0" collapsed="false">
      <c r="C23" s="9" t="s">
        <v>81</v>
      </c>
      <c r="D23" s="22" t="n">
        <v>4</v>
      </c>
    </row>
    <row r="25" customFormat="false" ht="15" hidden="false" customHeight="false" outlineLevel="0" collapsed="false">
      <c r="A25" s="25" t="s">
        <v>82</v>
      </c>
      <c r="C25" s="26" t="s">
        <v>83</v>
      </c>
    </row>
    <row r="26" customFormat="false" ht="15" hidden="false" customHeight="false" outlineLevel="0" collapsed="false">
      <c r="A26" s="7" t="s">
        <v>60</v>
      </c>
      <c r="B26" s="7" t="s">
        <v>61</v>
      </c>
      <c r="C26" s="7" t="s">
        <v>60</v>
      </c>
      <c r="D26" s="7" t="s">
        <v>61</v>
      </c>
    </row>
    <row r="27" customFormat="false" ht="15" hidden="false" customHeight="false" outlineLevel="0" collapsed="false">
      <c r="A27" s="9" t="s">
        <v>84</v>
      </c>
      <c r="B27" s="20" t="n">
        <v>3</v>
      </c>
      <c r="C27" s="9" t="s">
        <v>85</v>
      </c>
      <c r="D27" s="16" t="n">
        <v>1</v>
      </c>
    </row>
    <row r="28" customFormat="false" ht="15" hidden="false" customHeight="false" outlineLevel="0" collapsed="false">
      <c r="A28" s="9" t="s">
        <v>86</v>
      </c>
      <c r="B28" s="20" t="n">
        <v>3</v>
      </c>
      <c r="C28" s="9" t="s">
        <v>87</v>
      </c>
      <c r="D28" s="16" t="n">
        <v>1</v>
      </c>
    </row>
    <row r="29" customFormat="false" ht="15" hidden="false" customHeight="false" outlineLevel="0" collapsed="false">
      <c r="A29" s="9" t="s">
        <v>88</v>
      </c>
      <c r="B29" s="20" t="n">
        <v>3</v>
      </c>
      <c r="C29" s="9" t="s">
        <v>89</v>
      </c>
      <c r="D29" s="16" t="n">
        <v>1</v>
      </c>
    </row>
    <row r="30" customFormat="false" ht="15" hidden="false" customHeight="false" outlineLevel="0" collapsed="false">
      <c r="A30" s="9" t="s">
        <v>90</v>
      </c>
      <c r="B30" s="20" t="n">
        <v>3</v>
      </c>
      <c r="C30" s="9" t="s">
        <v>91</v>
      </c>
      <c r="D30" s="16" t="n">
        <v>1</v>
      </c>
    </row>
    <row r="31" customFormat="false" ht="15" hidden="false" customHeight="false" outlineLevel="0" collapsed="false">
      <c r="A31" s="9" t="s">
        <v>92</v>
      </c>
      <c r="B31" s="20" t="n">
        <v>3</v>
      </c>
      <c r="C31" s="9" t="s">
        <v>93</v>
      </c>
      <c r="D31" s="16" t="n">
        <v>1</v>
      </c>
    </row>
    <row r="32" customFormat="false" ht="15" hidden="false" customHeight="false" outlineLevel="0" collapsed="false">
      <c r="A32" s="9" t="s">
        <v>94</v>
      </c>
      <c r="B32" s="20" t="n">
        <v>3</v>
      </c>
      <c r="C32" s="9" t="s">
        <v>95</v>
      </c>
      <c r="D32" s="16" t="n">
        <v>1</v>
      </c>
    </row>
    <row r="33" customFormat="false" ht="15" hidden="false" customHeight="false" outlineLevel="0" collapsed="false">
      <c r="A33" s="9" t="s">
        <v>96</v>
      </c>
      <c r="B33" s="20" t="n">
        <v>3</v>
      </c>
      <c r="C33" s="9" t="s">
        <v>97</v>
      </c>
      <c r="D33" s="16" t="n">
        <v>1</v>
      </c>
    </row>
    <row r="34" customFormat="false" ht="15" hidden="false" customHeight="false" outlineLevel="0" collapsed="false">
      <c r="A34" s="9" t="s">
        <v>98</v>
      </c>
      <c r="B34" s="20" t="n">
        <v>3</v>
      </c>
      <c r="C34" s="9" t="s">
        <v>99</v>
      </c>
      <c r="D34" s="16" t="n">
        <v>1</v>
      </c>
    </row>
    <row r="35" customFormat="false" ht="15" hidden="false" customHeight="false" outlineLevel="0" collapsed="false">
      <c r="A35" s="9" t="s">
        <v>100</v>
      </c>
      <c r="B35" s="20" t="n">
        <v>3</v>
      </c>
      <c r="C35" s="9" t="s">
        <v>101</v>
      </c>
      <c r="D35" s="16" t="n">
        <v>1</v>
      </c>
    </row>
    <row r="36" customFormat="false" ht="15" hidden="false" customHeight="false" outlineLevel="0" collapsed="false">
      <c r="A36" s="9" t="s">
        <v>102</v>
      </c>
      <c r="B36" s="20" t="n">
        <v>3</v>
      </c>
      <c r="C36" s="9" t="s">
        <v>103</v>
      </c>
      <c r="D36" s="16" t="n">
        <v>1</v>
      </c>
    </row>
    <row r="37" customFormat="false" ht="15" hidden="false" customHeight="false" outlineLevel="0" collapsed="false">
      <c r="A37" s="9" t="s">
        <v>104</v>
      </c>
      <c r="B37" s="20" t="n">
        <v>3</v>
      </c>
      <c r="C37" s="9" t="s">
        <v>105</v>
      </c>
      <c r="D37" s="16" t="n">
        <v>1</v>
      </c>
    </row>
    <row r="38" customFormat="false" ht="15" hidden="false" customHeight="false" outlineLevel="0" collapsed="false">
      <c r="A38" s="9" t="s">
        <v>106</v>
      </c>
      <c r="B38" s="20" t="n">
        <v>3</v>
      </c>
      <c r="C38" s="9" t="s">
        <v>107</v>
      </c>
      <c r="D38" s="16" t="n">
        <v>1</v>
      </c>
    </row>
    <row r="39" customFormat="false" ht="15" hidden="false" customHeight="false" outlineLevel="0" collapsed="false">
      <c r="A39" s="9" t="s">
        <v>108</v>
      </c>
      <c r="B39" s="20" t="n">
        <v>3</v>
      </c>
      <c r="C39" s="9" t="s">
        <v>109</v>
      </c>
      <c r="D39" s="16" t="n">
        <v>1</v>
      </c>
    </row>
    <row r="40" customFormat="false" ht="15" hidden="false" customHeight="false" outlineLevel="0" collapsed="false">
      <c r="A40" s="9" t="s">
        <v>110</v>
      </c>
      <c r="B40" s="20" t="n">
        <v>3</v>
      </c>
      <c r="C40" s="9" t="s">
        <v>111</v>
      </c>
      <c r="D40" s="16" t="n">
        <v>1</v>
      </c>
    </row>
    <row r="41" customFormat="false" ht="15" hidden="false" customHeight="false" outlineLevel="0" collapsed="false">
      <c r="A41" s="9" t="s">
        <v>112</v>
      </c>
      <c r="B41" s="20" t="n">
        <v>3</v>
      </c>
      <c r="C41" s="9" t="s">
        <v>113</v>
      </c>
      <c r="D41" s="16" t="n">
        <v>1</v>
      </c>
    </row>
    <row r="42" customFormat="false" ht="15" hidden="false" customHeight="false" outlineLevel="0" collapsed="false">
      <c r="A42" s="9" t="s">
        <v>75</v>
      </c>
      <c r="B42" s="20" t="n">
        <v>3</v>
      </c>
      <c r="C42" s="9" t="s">
        <v>114</v>
      </c>
      <c r="D42" s="16" t="n">
        <v>1</v>
      </c>
    </row>
    <row r="43" customFormat="false" ht="15" hidden="false" customHeight="false" outlineLevel="0" collapsed="false">
      <c r="A43" s="9" t="s">
        <v>77</v>
      </c>
      <c r="B43" s="20" t="n">
        <v>3</v>
      </c>
      <c r="C43" s="9" t="s">
        <v>115</v>
      </c>
      <c r="D43" s="16" t="n">
        <v>1</v>
      </c>
    </row>
    <row r="44" customFormat="false" ht="15" hidden="false" customHeight="false" outlineLevel="0" collapsed="false">
      <c r="A44" s="9" t="s">
        <v>116</v>
      </c>
      <c r="B44" s="20" t="n">
        <v>3</v>
      </c>
      <c r="C44" s="9" t="s">
        <v>117</v>
      </c>
      <c r="D44" s="16" t="n">
        <v>1</v>
      </c>
    </row>
    <row r="45" customFormat="false" ht="15" hidden="false" customHeight="false" outlineLevel="0" collapsed="false">
      <c r="A45" s="9" t="s">
        <v>79</v>
      </c>
      <c r="B45" s="20" t="n">
        <v>3</v>
      </c>
      <c r="C45" s="9" t="s">
        <v>118</v>
      </c>
      <c r="D45" s="16" t="n">
        <v>1</v>
      </c>
    </row>
    <row r="46" customFormat="false" ht="15" hidden="false" customHeight="false" outlineLevel="0" collapsed="false">
      <c r="A46" s="9" t="s">
        <v>119</v>
      </c>
      <c r="B46" s="20" t="n">
        <v>3</v>
      </c>
      <c r="C46" s="9" t="s">
        <v>120</v>
      </c>
      <c r="D46" s="16" t="n">
        <v>1</v>
      </c>
    </row>
    <row r="47" customFormat="false" ht="15" hidden="false" customHeight="false" outlineLevel="0" collapsed="false">
      <c r="A47" s="9" t="s">
        <v>80</v>
      </c>
      <c r="B47" s="20" t="n">
        <v>3</v>
      </c>
      <c r="C47" s="9" t="s">
        <v>121</v>
      </c>
      <c r="D47" s="16" t="n">
        <v>1</v>
      </c>
    </row>
    <row r="48" customFormat="false" ht="15" hidden="false" customHeight="false" outlineLevel="0" collapsed="false">
      <c r="C48" s="9" t="s">
        <v>122</v>
      </c>
      <c r="D48" s="16" t="n">
        <v>1</v>
      </c>
    </row>
    <row r="49" customFormat="false" ht="15" hidden="false" customHeight="false" outlineLevel="0" collapsed="false">
      <c r="C49" s="9" t="s">
        <v>123</v>
      </c>
      <c r="D49" s="16" t="n">
        <v>1</v>
      </c>
    </row>
    <row r="50" customFormat="false" ht="15" hidden="false" customHeight="false" outlineLevel="0" collapsed="false">
      <c r="C50" s="9" t="s">
        <v>124</v>
      </c>
      <c r="D50" s="16" t="n">
        <v>1</v>
      </c>
    </row>
    <row r="51" customFormat="false" ht="15" hidden="false" customHeight="false" outlineLevel="0" collapsed="false">
      <c r="C51" s="9" t="s">
        <v>125</v>
      </c>
      <c r="D51" s="16" t="n">
        <v>1</v>
      </c>
    </row>
    <row r="52" customFormat="false" ht="15" hidden="false" customHeight="false" outlineLevel="0" collapsed="false">
      <c r="C52" s="9" t="s">
        <v>126</v>
      </c>
      <c r="D52" s="16" t="n">
        <v>1</v>
      </c>
    </row>
    <row r="53" customFormat="false" ht="15" hidden="false" customHeight="false" outlineLevel="0" collapsed="false">
      <c r="C53" s="9" t="s">
        <v>127</v>
      </c>
      <c r="D53" s="16" t="n">
        <v>1</v>
      </c>
    </row>
    <row r="55" customFormat="false" ht="15" hidden="false" customHeight="false" outlineLevel="0" collapsed="false">
      <c r="A55" s="2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41"/>
  </cols>
  <sheetData>
    <row r="1" customFormat="false" ht="17.35" hidden="false" customHeight="false" outlineLevel="0" collapsed="false">
      <c r="A1" s="14" t="s">
        <v>129</v>
      </c>
    </row>
    <row r="2" customFormat="false" ht="15" hidden="false" customHeight="false" outlineLevel="0" collapsed="false">
      <c r="A2" s="15" t="s">
        <v>130</v>
      </c>
    </row>
    <row r="4" customFormat="false" ht="15" hidden="false" customHeight="false" outlineLevel="0" collapsed="false">
      <c r="A4" s="7" t="s">
        <v>131</v>
      </c>
      <c r="B4" s="7" t="s">
        <v>39</v>
      </c>
      <c r="C4" s="7" t="s">
        <v>8</v>
      </c>
      <c r="D4" s="7" t="s">
        <v>132</v>
      </c>
    </row>
    <row r="5" customFormat="false" ht="15" hidden="false" customHeight="false" outlineLevel="0" collapsed="false">
      <c r="A5" s="9" t="s">
        <v>133</v>
      </c>
      <c r="B5" s="16" t="n">
        <v>1</v>
      </c>
      <c r="C5" s="17" t="s">
        <v>41</v>
      </c>
      <c r="D5" s="9" t="s">
        <v>134</v>
      </c>
    </row>
    <row r="6" customFormat="false" ht="15" hidden="false" customHeight="false" outlineLevel="0" collapsed="false">
      <c r="A6" s="9" t="s">
        <v>135</v>
      </c>
      <c r="B6" s="16" t="n">
        <v>1</v>
      </c>
      <c r="C6" s="17" t="s">
        <v>41</v>
      </c>
      <c r="D6" s="9" t="s">
        <v>136</v>
      </c>
    </row>
    <row r="7" customFormat="false" ht="15" hidden="false" customHeight="false" outlineLevel="0" collapsed="false">
      <c r="A7" s="9" t="s">
        <v>137</v>
      </c>
      <c r="B7" s="16" t="n">
        <v>1</v>
      </c>
      <c r="C7" s="17" t="s">
        <v>41</v>
      </c>
      <c r="D7" s="9" t="s">
        <v>138</v>
      </c>
    </row>
    <row r="8" customFormat="false" ht="15" hidden="false" customHeight="false" outlineLevel="0" collapsed="false">
      <c r="A8" s="9" t="s">
        <v>139</v>
      </c>
      <c r="B8" s="16" t="n">
        <v>1</v>
      </c>
      <c r="C8" s="17" t="s">
        <v>41</v>
      </c>
      <c r="D8" s="9" t="s">
        <v>140</v>
      </c>
    </row>
    <row r="9" customFormat="false" ht="15" hidden="false" customHeight="false" outlineLevel="0" collapsed="false">
      <c r="A9" s="9" t="s">
        <v>141</v>
      </c>
      <c r="B9" s="16" t="n">
        <v>1</v>
      </c>
      <c r="C9" s="17" t="s">
        <v>41</v>
      </c>
      <c r="D9" s="9" t="s">
        <v>142</v>
      </c>
    </row>
    <row r="10" customFormat="false" ht="15" hidden="false" customHeight="false" outlineLevel="0" collapsed="false">
      <c r="A10" s="9" t="s">
        <v>143</v>
      </c>
      <c r="B10" s="18" t="n">
        <v>2</v>
      </c>
      <c r="C10" s="19" t="s">
        <v>45</v>
      </c>
      <c r="D10" s="9" t="s">
        <v>144</v>
      </c>
    </row>
    <row r="11" customFormat="false" ht="15" hidden="false" customHeight="false" outlineLevel="0" collapsed="false">
      <c r="A11" s="9" t="s">
        <v>145</v>
      </c>
      <c r="B11" s="18" t="n">
        <v>2</v>
      </c>
      <c r="C11" s="19" t="s">
        <v>45</v>
      </c>
      <c r="D11" s="9" t="s">
        <v>146</v>
      </c>
    </row>
    <row r="12" customFormat="false" ht="15" hidden="false" customHeight="false" outlineLevel="0" collapsed="false">
      <c r="A12" s="9" t="s">
        <v>147</v>
      </c>
      <c r="B12" s="18" t="n">
        <v>2</v>
      </c>
      <c r="C12" s="19" t="s">
        <v>45</v>
      </c>
      <c r="D12" s="9" t="s">
        <v>148</v>
      </c>
    </row>
    <row r="13" customFormat="false" ht="15" hidden="false" customHeight="false" outlineLevel="0" collapsed="false">
      <c r="A13" s="9" t="s">
        <v>149</v>
      </c>
      <c r="B13" s="18" t="n">
        <v>2</v>
      </c>
      <c r="C13" s="19" t="s">
        <v>45</v>
      </c>
      <c r="D13" s="9" t="s">
        <v>150</v>
      </c>
    </row>
    <row r="14" customFormat="false" ht="15" hidden="false" customHeight="false" outlineLevel="0" collapsed="false">
      <c r="A14" s="9" t="s">
        <v>151</v>
      </c>
      <c r="B14" s="18" t="n">
        <v>2</v>
      </c>
      <c r="C14" s="19" t="s">
        <v>45</v>
      </c>
      <c r="D14" s="9" t="s">
        <v>152</v>
      </c>
    </row>
    <row r="15" customFormat="false" ht="15" hidden="false" customHeight="false" outlineLevel="0" collapsed="false">
      <c r="A15" s="9" t="s">
        <v>153</v>
      </c>
      <c r="B15" s="18" t="n">
        <v>2</v>
      </c>
      <c r="C15" s="19" t="s">
        <v>45</v>
      </c>
      <c r="D15" s="9" t="s">
        <v>154</v>
      </c>
    </row>
    <row r="16" customFormat="false" ht="15" hidden="false" customHeight="false" outlineLevel="0" collapsed="false">
      <c r="A16" s="9" t="s">
        <v>155</v>
      </c>
      <c r="B16" s="18" t="n">
        <v>2</v>
      </c>
      <c r="C16" s="19" t="s">
        <v>45</v>
      </c>
      <c r="D16" s="9" t="s">
        <v>156</v>
      </c>
    </row>
    <row r="17" customFormat="false" ht="15" hidden="false" customHeight="false" outlineLevel="0" collapsed="false">
      <c r="A17" s="9" t="s">
        <v>157</v>
      </c>
      <c r="B17" s="20" t="n">
        <v>3</v>
      </c>
      <c r="C17" s="21" t="s">
        <v>49</v>
      </c>
      <c r="D17" s="9" t="s">
        <v>158</v>
      </c>
    </row>
    <row r="18" customFormat="false" ht="15" hidden="false" customHeight="false" outlineLevel="0" collapsed="false">
      <c r="A18" s="9" t="s">
        <v>159</v>
      </c>
      <c r="B18" s="20" t="n">
        <v>3</v>
      </c>
      <c r="C18" s="21" t="s">
        <v>49</v>
      </c>
      <c r="D18" s="9" t="s">
        <v>160</v>
      </c>
    </row>
    <row r="19" customFormat="false" ht="15" hidden="false" customHeight="false" outlineLevel="0" collapsed="false">
      <c r="A19" s="9" t="s">
        <v>161</v>
      </c>
      <c r="B19" s="20" t="n">
        <v>3</v>
      </c>
      <c r="C19" s="21" t="s">
        <v>49</v>
      </c>
      <c r="D19" s="9" t="s">
        <v>162</v>
      </c>
    </row>
    <row r="20" customFormat="false" ht="15" hidden="false" customHeight="false" outlineLevel="0" collapsed="false">
      <c r="A20" s="9" t="s">
        <v>163</v>
      </c>
      <c r="B20" s="20" t="n">
        <v>3</v>
      </c>
      <c r="C20" s="21" t="s">
        <v>49</v>
      </c>
      <c r="D20" s="9" t="s">
        <v>164</v>
      </c>
    </row>
    <row r="21" customFormat="false" ht="15" hidden="false" customHeight="false" outlineLevel="0" collapsed="false">
      <c r="A21" s="9" t="s">
        <v>165</v>
      </c>
      <c r="B21" s="20" t="n">
        <v>3</v>
      </c>
      <c r="C21" s="21" t="s">
        <v>49</v>
      </c>
      <c r="D21" s="9" t="s">
        <v>166</v>
      </c>
    </row>
    <row r="22" customFormat="false" ht="15" hidden="false" customHeight="false" outlineLevel="0" collapsed="false">
      <c r="A22" s="9" t="s">
        <v>167</v>
      </c>
      <c r="B22" s="20" t="n">
        <v>3</v>
      </c>
      <c r="C22" s="21" t="s">
        <v>49</v>
      </c>
      <c r="D22" s="9" t="s">
        <v>168</v>
      </c>
    </row>
    <row r="23" customFormat="false" ht="15" hidden="false" customHeight="false" outlineLevel="0" collapsed="false">
      <c r="A23" s="9" t="s">
        <v>169</v>
      </c>
      <c r="B23" s="20" t="n">
        <v>3</v>
      </c>
      <c r="C23" s="21" t="s">
        <v>49</v>
      </c>
      <c r="D23" s="9" t="s">
        <v>170</v>
      </c>
    </row>
    <row r="24" customFormat="false" ht="15" hidden="false" customHeight="false" outlineLevel="0" collapsed="false">
      <c r="A24" s="9" t="s">
        <v>171</v>
      </c>
      <c r="B24" s="20" t="n">
        <v>3</v>
      </c>
      <c r="C24" s="21" t="s">
        <v>49</v>
      </c>
      <c r="D24" s="9" t="s">
        <v>172</v>
      </c>
    </row>
    <row r="25" customFormat="false" ht="15" hidden="false" customHeight="false" outlineLevel="0" collapsed="false">
      <c r="A25" s="9" t="s">
        <v>173</v>
      </c>
      <c r="B25" s="20" t="n">
        <v>3</v>
      </c>
      <c r="C25" s="21" t="s">
        <v>49</v>
      </c>
      <c r="D25" s="9" t="s">
        <v>174</v>
      </c>
    </row>
    <row r="26" customFormat="false" ht="15" hidden="false" customHeight="false" outlineLevel="0" collapsed="false">
      <c r="A26" s="9" t="s">
        <v>175</v>
      </c>
      <c r="B26" s="22" t="n">
        <v>4</v>
      </c>
      <c r="C26" s="23" t="s">
        <v>54</v>
      </c>
      <c r="D26" s="9" t="s">
        <v>176</v>
      </c>
    </row>
    <row r="27" customFormat="false" ht="15" hidden="false" customHeight="false" outlineLevel="0" collapsed="false">
      <c r="A27" s="9" t="s">
        <v>177</v>
      </c>
      <c r="B27" s="22" t="n">
        <v>4</v>
      </c>
      <c r="C27" s="23" t="s">
        <v>54</v>
      </c>
      <c r="D27" s="9" t="s">
        <v>178</v>
      </c>
    </row>
    <row r="28" customFormat="false" ht="15" hidden="false" customHeight="false" outlineLevel="0" collapsed="false">
      <c r="A28" s="9" t="s">
        <v>179</v>
      </c>
      <c r="B28" s="22" t="n">
        <v>4</v>
      </c>
      <c r="C28" s="23" t="s">
        <v>54</v>
      </c>
      <c r="D28" s="9" t="s">
        <v>180</v>
      </c>
    </row>
    <row r="29" customFormat="false" ht="15" hidden="false" customHeight="false" outlineLevel="0" collapsed="false">
      <c r="A29" s="9" t="s">
        <v>181</v>
      </c>
      <c r="B29" s="22" t="n">
        <v>4</v>
      </c>
      <c r="C29" s="23" t="s">
        <v>54</v>
      </c>
      <c r="D29" s="9" t="s">
        <v>182</v>
      </c>
    </row>
    <row r="30" customFormat="false" ht="15" hidden="false" customHeight="false" outlineLevel="0" collapsed="false">
      <c r="A30" s="9" t="s">
        <v>183</v>
      </c>
      <c r="B30" s="22" t="n">
        <v>4</v>
      </c>
      <c r="C30" s="23" t="s">
        <v>54</v>
      </c>
      <c r="D30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4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4" t="s">
        <v>185</v>
      </c>
    </row>
    <row r="2" customFormat="false" ht="15" hidden="false" customHeight="false" outlineLevel="0" collapsed="false">
      <c r="A2" s="15" t="s">
        <v>186</v>
      </c>
    </row>
    <row r="4" customFormat="false" ht="15" hidden="false" customHeight="false" outlineLevel="0" collapsed="false">
      <c r="A4" s="4" t="s">
        <v>187</v>
      </c>
    </row>
    <row r="5" customFormat="false" ht="15" hidden="false" customHeight="false" outlineLevel="0" collapsed="false">
      <c r="A5" s="7" t="s">
        <v>188</v>
      </c>
      <c r="B5" s="7" t="s">
        <v>23</v>
      </c>
      <c r="C5" s="28" t="s">
        <v>189</v>
      </c>
      <c r="D5" s="29" t="s">
        <v>190</v>
      </c>
      <c r="E5" s="30" t="s">
        <v>191</v>
      </c>
      <c r="F5" s="31" t="s">
        <v>192</v>
      </c>
    </row>
    <row r="6" customFormat="false" ht="15" hidden="false" customHeight="false" outlineLevel="0" collapsed="false">
      <c r="A6" s="13" t="s">
        <v>38</v>
      </c>
      <c r="B6" s="32" t="n">
        <v>20</v>
      </c>
      <c r="C6" s="8" t="s">
        <v>193</v>
      </c>
      <c r="D6" s="10" t="s">
        <v>194</v>
      </c>
      <c r="E6" s="11" t="s">
        <v>195</v>
      </c>
      <c r="F6" s="12" t="s">
        <v>196</v>
      </c>
    </row>
    <row r="7" customFormat="false" ht="15" hidden="false" customHeight="false" outlineLevel="0" collapsed="false">
      <c r="A7" s="13" t="s">
        <v>197</v>
      </c>
      <c r="B7" s="32" t="n">
        <v>20</v>
      </c>
      <c r="C7" s="8" t="s">
        <v>198</v>
      </c>
      <c r="D7" s="10" t="s">
        <v>199</v>
      </c>
      <c r="E7" s="11" t="s">
        <v>200</v>
      </c>
      <c r="F7" s="12" t="s">
        <v>201</v>
      </c>
    </row>
    <row r="8" customFormat="false" ht="15" hidden="false" customHeight="false" outlineLevel="0" collapsed="false">
      <c r="A8" s="13" t="s">
        <v>202</v>
      </c>
      <c r="B8" s="32" t="n">
        <v>25</v>
      </c>
      <c r="C8" s="8" t="s">
        <v>203</v>
      </c>
      <c r="D8" s="10" t="s">
        <v>204</v>
      </c>
      <c r="E8" s="11" t="s">
        <v>205</v>
      </c>
      <c r="F8" s="12" t="s">
        <v>206</v>
      </c>
    </row>
    <row r="9" customFormat="false" ht="15" hidden="false" customHeight="false" outlineLevel="0" collapsed="false">
      <c r="A9" s="13" t="s">
        <v>207</v>
      </c>
      <c r="B9" s="32" t="n">
        <v>15</v>
      </c>
      <c r="C9" s="8" t="s">
        <v>208</v>
      </c>
      <c r="D9" s="10" t="s">
        <v>209</v>
      </c>
      <c r="E9" s="11" t="s">
        <v>210</v>
      </c>
      <c r="F9" s="12" t="s">
        <v>211</v>
      </c>
    </row>
    <row r="10" customFormat="false" ht="15" hidden="false" customHeight="false" outlineLevel="0" collapsed="false">
      <c r="A10" s="13" t="s">
        <v>212</v>
      </c>
      <c r="B10" s="32" t="n">
        <v>10</v>
      </c>
      <c r="C10" s="8" t="s">
        <v>213</v>
      </c>
      <c r="D10" s="10" t="s">
        <v>214</v>
      </c>
      <c r="E10" s="11" t="s">
        <v>215</v>
      </c>
      <c r="F10" s="12" t="s">
        <v>216</v>
      </c>
    </row>
    <row r="11" customFormat="false" ht="15" hidden="false" customHeight="false" outlineLevel="0" collapsed="false">
      <c r="A11" s="13" t="s">
        <v>217</v>
      </c>
      <c r="B11" s="32" t="n">
        <v>10</v>
      </c>
      <c r="C11" s="8" t="s">
        <v>218</v>
      </c>
      <c r="D11" s="10" t="s">
        <v>219</v>
      </c>
      <c r="E11" s="11" t="s">
        <v>220</v>
      </c>
      <c r="F11" s="12" t="s">
        <v>221</v>
      </c>
    </row>
    <row r="13" customFormat="false" ht="15" hidden="false" customHeight="false" outlineLevel="0" collapsed="false">
      <c r="A13" s="4" t="s">
        <v>222</v>
      </c>
    </row>
    <row r="14" customFormat="false" ht="15" hidden="false" customHeight="false" outlineLevel="0" collapsed="false">
      <c r="A14" s="7" t="s">
        <v>188</v>
      </c>
      <c r="B14" s="7" t="s">
        <v>23</v>
      </c>
      <c r="C14" s="28" t="s">
        <v>189</v>
      </c>
      <c r="D14" s="29" t="s">
        <v>190</v>
      </c>
      <c r="E14" s="30" t="s">
        <v>191</v>
      </c>
      <c r="F14" s="31" t="s">
        <v>192</v>
      </c>
    </row>
    <row r="15" customFormat="false" ht="15" hidden="false" customHeight="false" outlineLevel="0" collapsed="false">
      <c r="A15" s="13" t="s">
        <v>223</v>
      </c>
      <c r="B15" s="32" t="n">
        <v>40</v>
      </c>
      <c r="C15" s="8" t="s">
        <v>224</v>
      </c>
      <c r="D15" s="10" t="s">
        <v>225</v>
      </c>
      <c r="E15" s="11" t="s">
        <v>226</v>
      </c>
      <c r="F15" s="12" t="s">
        <v>227</v>
      </c>
    </row>
    <row r="16" customFormat="false" ht="15" hidden="false" customHeight="false" outlineLevel="0" collapsed="false">
      <c r="A16" s="13" t="s">
        <v>228</v>
      </c>
      <c r="B16" s="32" t="n">
        <v>30</v>
      </c>
      <c r="C16" s="8" t="s">
        <v>229</v>
      </c>
      <c r="D16" s="10" t="s">
        <v>230</v>
      </c>
      <c r="E16" s="11" t="s">
        <v>231</v>
      </c>
      <c r="F16" s="12" t="s">
        <v>232</v>
      </c>
    </row>
    <row r="17" customFormat="false" ht="15" hidden="false" customHeight="false" outlineLevel="0" collapsed="false">
      <c r="A17" s="13" t="s">
        <v>233</v>
      </c>
      <c r="B17" s="32" t="n">
        <v>30</v>
      </c>
      <c r="C17" s="8" t="s">
        <v>229</v>
      </c>
      <c r="D17" s="10" t="s">
        <v>230</v>
      </c>
      <c r="E17" s="11" t="s">
        <v>231</v>
      </c>
      <c r="F17" s="12" t="s">
        <v>232</v>
      </c>
    </row>
    <row r="19" customFormat="false" ht="15" hidden="false" customHeight="false" outlineLevel="0" collapsed="false">
      <c r="A19" s="4" t="s">
        <v>234</v>
      </c>
    </row>
    <row r="20" customFormat="false" ht="15" hidden="false" customHeight="false" outlineLevel="0" collapsed="false">
      <c r="A20" s="7" t="s">
        <v>188</v>
      </c>
      <c r="B20" s="7" t="s">
        <v>23</v>
      </c>
      <c r="C20" s="28" t="s">
        <v>189</v>
      </c>
      <c r="D20" s="29" t="s">
        <v>190</v>
      </c>
      <c r="E20" s="30" t="s">
        <v>191</v>
      </c>
      <c r="F20" s="31" t="s">
        <v>192</v>
      </c>
    </row>
    <row r="21" customFormat="false" ht="15" hidden="false" customHeight="false" outlineLevel="0" collapsed="false">
      <c r="A21" s="13" t="s">
        <v>235</v>
      </c>
      <c r="B21" s="32" t="n">
        <v>40</v>
      </c>
      <c r="C21" s="8" t="s">
        <v>236</v>
      </c>
      <c r="D21" s="10" t="s">
        <v>237</v>
      </c>
      <c r="E21" s="11" t="s">
        <v>238</v>
      </c>
      <c r="F21" s="12" t="s">
        <v>239</v>
      </c>
    </row>
    <row r="22" customFormat="false" ht="15" hidden="false" customHeight="false" outlineLevel="0" collapsed="false">
      <c r="A22" s="13" t="s">
        <v>240</v>
      </c>
      <c r="B22" s="32" t="n">
        <v>30</v>
      </c>
      <c r="C22" s="8" t="s">
        <v>241</v>
      </c>
      <c r="D22" s="10" t="s">
        <v>242</v>
      </c>
      <c r="E22" s="11" t="s">
        <v>243</v>
      </c>
      <c r="F22" s="12" t="s">
        <v>244</v>
      </c>
    </row>
    <row r="23" customFormat="false" ht="15" hidden="false" customHeight="false" outlineLevel="0" collapsed="false">
      <c r="A23" s="13" t="s">
        <v>245</v>
      </c>
      <c r="B23" s="32" t="n">
        <v>30</v>
      </c>
      <c r="C23" s="8" t="s">
        <v>246</v>
      </c>
      <c r="D23" s="10" t="s">
        <v>225</v>
      </c>
      <c r="E23" s="11" t="s">
        <v>247</v>
      </c>
      <c r="F23" s="12" t="s">
        <v>248</v>
      </c>
    </row>
    <row r="25" customFormat="false" ht="15" hidden="false" customHeight="false" outlineLevel="0" collapsed="false">
      <c r="A25" s="4" t="s">
        <v>249</v>
      </c>
    </row>
    <row r="26" customFormat="false" ht="15" hidden="false" customHeight="false" outlineLevel="0" collapsed="false">
      <c r="A26" s="7" t="s">
        <v>188</v>
      </c>
      <c r="B26" s="7" t="s">
        <v>23</v>
      </c>
      <c r="C26" s="28" t="s">
        <v>189</v>
      </c>
      <c r="D26" s="29" t="s">
        <v>190</v>
      </c>
      <c r="E26" s="30" t="s">
        <v>191</v>
      </c>
      <c r="F26" s="31" t="s">
        <v>192</v>
      </c>
    </row>
    <row r="27" customFormat="false" ht="15" hidden="false" customHeight="false" outlineLevel="0" collapsed="false">
      <c r="A27" s="13" t="s">
        <v>250</v>
      </c>
      <c r="B27" s="32" t="n">
        <v>100</v>
      </c>
      <c r="C27" s="8" t="s">
        <v>251</v>
      </c>
      <c r="D27" s="10" t="s">
        <v>252</v>
      </c>
      <c r="E27" s="11" t="s">
        <v>253</v>
      </c>
      <c r="F27" s="12" t="s">
        <v>254</v>
      </c>
    </row>
    <row r="29" customFormat="false" ht="15" hidden="false" customHeight="false" outlineLevel="0" collapsed="false">
      <c r="A29" s="4" t="s">
        <v>255</v>
      </c>
    </row>
    <row r="30" customFormat="false" ht="15" hidden="false" customHeight="false" outlineLevel="0" collapsed="false">
      <c r="A30" s="7" t="s">
        <v>188</v>
      </c>
      <c r="B30" s="7" t="s">
        <v>23</v>
      </c>
      <c r="C30" s="28" t="s">
        <v>189</v>
      </c>
      <c r="D30" s="29" t="s">
        <v>190</v>
      </c>
      <c r="E30" s="30" t="s">
        <v>191</v>
      </c>
      <c r="F30" s="31" t="s">
        <v>192</v>
      </c>
    </row>
    <row r="31" customFormat="false" ht="15" hidden="false" customHeight="false" outlineLevel="0" collapsed="false">
      <c r="A31" s="13" t="s">
        <v>256</v>
      </c>
      <c r="B31" s="32" t="n">
        <v>50</v>
      </c>
      <c r="C31" s="8" t="s">
        <v>257</v>
      </c>
      <c r="D31" s="10" t="s">
        <v>258</v>
      </c>
      <c r="E31" s="11" t="s">
        <v>259</v>
      </c>
      <c r="F31" s="12" t="s">
        <v>260</v>
      </c>
    </row>
    <row r="32" customFormat="false" ht="15" hidden="false" customHeight="false" outlineLevel="0" collapsed="false">
      <c r="A32" s="13" t="s">
        <v>261</v>
      </c>
      <c r="B32" s="32" t="n">
        <v>50</v>
      </c>
      <c r="C32" s="8" t="s">
        <v>262</v>
      </c>
      <c r="D32" s="10" t="s">
        <v>263</v>
      </c>
      <c r="E32" s="11" t="s">
        <v>264</v>
      </c>
      <c r="F32" s="12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0"/>
    <col collapsed="false" customWidth="true" hidden="false" outlineLevel="0" max="3" min="3" style="0" width="14"/>
    <col collapsed="false" customWidth="true" hidden="false" outlineLevel="0" max="4" min="4" style="0" width="17"/>
  </cols>
  <sheetData>
    <row r="1" customFormat="false" ht="17.35" hidden="false" customHeight="false" outlineLevel="0" collapsed="false">
      <c r="A1" s="14" t="s">
        <v>266</v>
      </c>
    </row>
    <row r="2" customFormat="false" ht="15" hidden="false" customHeight="false" outlineLevel="0" collapsed="false">
      <c r="A2" s="15" t="s">
        <v>267</v>
      </c>
    </row>
    <row r="4" customFormat="false" ht="15" hidden="false" customHeight="false" outlineLevel="0" collapsed="false">
      <c r="A4" s="7" t="s">
        <v>21</v>
      </c>
      <c r="B4" s="7" t="s">
        <v>23</v>
      </c>
      <c r="C4" s="7" t="s">
        <v>268</v>
      </c>
      <c r="D4" s="7" t="s">
        <v>269</v>
      </c>
    </row>
    <row r="5" customFormat="false" ht="15" hidden="false" customHeight="false" outlineLevel="0" collapsed="false">
      <c r="A5" s="9" t="s">
        <v>270</v>
      </c>
      <c r="B5" s="9" t="n">
        <v>30</v>
      </c>
      <c r="C5" s="33" t="n">
        <v>1</v>
      </c>
      <c r="D5" s="9" t="n">
        <f aca="false">B5*C5</f>
        <v>30</v>
      </c>
    </row>
    <row r="6" customFormat="false" ht="15" hidden="false" customHeight="false" outlineLevel="0" collapsed="false">
      <c r="A6" s="9" t="s">
        <v>271</v>
      </c>
      <c r="B6" s="9" t="n">
        <v>25</v>
      </c>
      <c r="C6" s="33" t="n">
        <v>1</v>
      </c>
      <c r="D6" s="9" t="n">
        <f aca="false">B6*C6</f>
        <v>25</v>
      </c>
    </row>
    <row r="7" customFormat="false" ht="15" hidden="false" customHeight="false" outlineLevel="0" collapsed="false">
      <c r="A7" s="9" t="s">
        <v>272</v>
      </c>
      <c r="B7" s="9" t="n">
        <v>20</v>
      </c>
      <c r="C7" s="33" t="n">
        <v>1</v>
      </c>
      <c r="D7" s="9" t="n">
        <f aca="false">B7*C7</f>
        <v>20</v>
      </c>
    </row>
    <row r="8" customFormat="false" ht="15" hidden="false" customHeight="false" outlineLevel="0" collapsed="false">
      <c r="A8" s="9" t="s">
        <v>273</v>
      </c>
      <c r="B8" s="9" t="n">
        <v>15</v>
      </c>
      <c r="C8" s="33" t="n">
        <v>1</v>
      </c>
      <c r="D8" s="9" t="n">
        <f aca="false">B8*C8</f>
        <v>15</v>
      </c>
    </row>
    <row r="9" customFormat="false" ht="15" hidden="false" customHeight="false" outlineLevel="0" collapsed="false">
      <c r="A9" s="9" t="s">
        <v>274</v>
      </c>
      <c r="B9" s="9" t="n">
        <v>10</v>
      </c>
      <c r="C9" s="33" t="n">
        <v>1</v>
      </c>
      <c r="D9" s="9" t="n">
        <f aca="false">B9*C9</f>
        <v>10</v>
      </c>
    </row>
    <row r="10" customFormat="false" ht="15" hidden="false" customHeight="false" outlineLevel="0" collapsed="false">
      <c r="A10" s="13" t="s">
        <v>35</v>
      </c>
      <c r="B10" s="13" t="n">
        <f aca="false">SUM(B5:B9)</f>
        <v>100</v>
      </c>
      <c r="C10" s="13"/>
      <c r="D10" s="13" t="n">
        <f aca="false">SUM(D5:D9)</f>
        <v>100</v>
      </c>
    </row>
    <row r="12" customFormat="false" ht="22.05" hidden="false" customHeight="false" outlineLevel="0" collapsed="false">
      <c r="A12" s="14" t="s">
        <v>275</v>
      </c>
      <c r="B12" s="34" t="n">
        <f aca="false">D10/B10*25</f>
        <v>25</v>
      </c>
    </row>
    <row r="13" customFormat="false" ht="17.35" hidden="false" customHeight="false" outlineLevel="0" collapsed="false">
      <c r="A13" s="14" t="s">
        <v>8</v>
      </c>
      <c r="B13" s="35" t="str">
        <f aca="false">IF(B12&lt;40,"LOW",IF(B12&lt;55,"MEDIUM",IF(B12&lt;70,"HIGH","VERY HIGH")))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2026-03-16T16:48:28Z</dcterms:created>
  <dc:creator>openpyxl</dc:creator>
  <dc:description/>
  <dc:language>en-US</dc:language>
  <cp:lastModifiedBy/>
  <dcterms:modified xsi:type="dcterms:W3CDTF">2026-03-16T16:48:28Z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