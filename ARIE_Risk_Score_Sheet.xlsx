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Aisha/Desktop/Onboarda/"/>
    </mc:Choice>
  </mc:AlternateContent>
  <xr:revisionPtr revIDLastSave="0" documentId="13_ncr:1_{E61B3D47-77AA-474A-8473-3D5ED190715F}" xr6:coauthVersionLast="47" xr6:coauthVersionMax="47" xr10:uidLastSave="{00000000-0000-0000-0000-000000000000}"/>
  <bookViews>
    <workbookView xWindow="0" yWindow="600" windowWidth="27660" windowHeight="14600" tabRatio="500" activeTab="5" xr2:uid="{00000000-000D-0000-FFFF-FFFF00000000}"/>
  </bookViews>
  <sheets>
    <sheet name="Risk Scoring Calculator" sheetId="1" r:id="rId1"/>
    <sheet name="Score Reference" sheetId="2" r:id="rId2"/>
    <sheet name="Country Risk Reference" sheetId="3" r:id="rId3"/>
    <sheet name="AI Verification Checks" sheetId="4" r:id="rId4"/>
    <sheet name="AI Agent Registry" sheetId="5" r:id="rId5"/>
    <sheet name="Methodology" sheetId="6"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39" i="1" l="1"/>
  <c r="E39" i="1" s="1"/>
  <c r="C38" i="1"/>
  <c r="E40" i="1" s="1"/>
  <c r="C34" i="1"/>
  <c r="E35" i="1" s="1"/>
  <c r="C30" i="1"/>
  <c r="E30" i="1" s="1"/>
  <c r="C29" i="1"/>
  <c r="E29" i="1" s="1"/>
  <c r="C28" i="1"/>
  <c r="E28" i="1" s="1"/>
  <c r="C24" i="1"/>
  <c r="E24" i="1" s="1"/>
  <c r="C23" i="1"/>
  <c r="E23" i="1" s="1"/>
  <c r="C22" i="1"/>
  <c r="E22" i="1" s="1"/>
  <c r="C21" i="1"/>
  <c r="E21" i="1" s="1"/>
  <c r="C20" i="1"/>
  <c r="E20" i="1" s="1"/>
  <c r="C16" i="1"/>
  <c r="E16" i="1" s="1"/>
  <c r="C15" i="1"/>
  <c r="E15" i="1" s="1"/>
  <c r="C14" i="1"/>
  <c r="E14" i="1" s="1"/>
  <c r="C13" i="1"/>
  <c r="E13" i="1" s="1"/>
  <c r="C12" i="1"/>
  <c r="E12" i="1" s="1"/>
  <c r="C11" i="1"/>
  <c r="E11" i="1" s="1"/>
  <c r="E38" i="1" l="1"/>
  <c r="E17" i="1"/>
  <c r="E25" i="1"/>
  <c r="E31" i="1"/>
  <c r="E34" i="1"/>
  <c r="E49" i="1" l="1"/>
  <c r="B52" i="1" l="1"/>
  <c r="B51" i="1"/>
  <c r="E50" i="1"/>
</calcChain>
</file>

<file path=xl/sharedStrings.xml><?xml version="1.0" encoding="utf-8"?>
<sst xmlns="http://schemas.openxmlformats.org/spreadsheetml/2006/main" count="1168" uniqueCount="632">
  <si>
    <t>ARIE FINANCE LTD  —  CLIENT RISK SCORING MODEL</t>
  </si>
  <si>
    <t>AML / CFT Risk Assessment Framework  |  Based on FATF Risk-Based Approach (Banking Sector)</t>
  </si>
  <si>
    <t>Client / Entity Name:</t>
  </si>
  <si>
    <t>Application Reference:</t>
  </si>
  <si>
    <t>Assessment Date:</t>
  </si>
  <si>
    <t>17 March 2026</t>
  </si>
  <si>
    <t>Assessed By:</t>
  </si>
  <si>
    <t>RISK FACTOR</t>
  </si>
  <si>
    <t>SELECTION</t>
  </si>
  <si>
    <t>SCORE (1–4)</t>
  </si>
  <si>
    <t>SUB-FACTOR WEIGHT</t>
  </si>
  <si>
    <t>WEIGHTED SCORE</t>
  </si>
  <si>
    <t xml:space="preserve">  DIMENSION 1: CUSTOMER / ENTITY RISK    |    Dimension Weight: 30%</t>
  </si>
  <si>
    <t>1.1   Entity Type</t>
  </si>
  <si>
    <t>1.2   Ownership Structure</t>
  </si>
  <si>
    <t>1.3   PEP Status</t>
  </si>
  <si>
    <t>1.4   Adverse Media / Negative News</t>
  </si>
  <si>
    <t>1.5   Source of Wealth</t>
  </si>
  <si>
    <t>1.6   Initial Source of Funds</t>
  </si>
  <si>
    <t xml:space="preserve">  DIMENSION 1 SCORE</t>
  </si>
  <si>
    <t>Dimension Score (1–4)</t>
  </si>
  <si>
    <t xml:space="preserve">  DIMENSION 2: GEOGRAPHIC RISK    |    Dimension Weight: 25%</t>
  </si>
  <si>
    <t>2.1   Country of Incorporation</t>
  </si>
  <si>
    <t>2.2   UBO Nationalities</t>
  </si>
  <si>
    <t>2.3   Intermediary Shareholder Jurisdictions</t>
  </si>
  <si>
    <t>2.4   Countries of Operation</t>
  </si>
  <si>
    <t>2.5   Target Markets / Payment Corridors</t>
  </si>
  <si>
    <t xml:space="preserve">  DIMENSION 2 SCORE</t>
  </si>
  <si>
    <t xml:space="preserve">  DIMENSION 3: PRODUCT / SERVICE RISK    |    Dimension Weight: 20%</t>
  </si>
  <si>
    <t>3.1   Primary Service Required</t>
  </si>
  <si>
    <t>3.2   Expected Monthly Transaction Volume</t>
  </si>
  <si>
    <t>3.3   Transaction Complexity &amp; Corridors</t>
  </si>
  <si>
    <t xml:space="preserve">  DIMENSION 3 SCORE</t>
  </si>
  <si>
    <t xml:space="preserve">  DIMENSION 4: INDUSTRY / SECTOR RISK    |    Dimension Weight: 15%</t>
  </si>
  <si>
    <t>4.1   Business Sector / Industry</t>
  </si>
  <si>
    <t xml:space="preserve">  DIMENSION 4 SCORE</t>
  </si>
  <si>
    <t xml:space="preserve">  DIMENSION 5: DELIVERY CHANNEL RISK    |    Dimension Weight: 10%</t>
  </si>
  <si>
    <t>5.1   Introduction / Referral Method</t>
  </si>
  <si>
    <t>5.2   Customer Interaction Type</t>
  </si>
  <si>
    <t xml:space="preserve">  DIMENSION 5 SCORE</t>
  </si>
  <si>
    <t xml:space="preserve">  OVERALL RISK ASSESSMENT</t>
  </si>
  <si>
    <t xml:space="preserve">  WEIGHTED COMPOSITE SCORE</t>
  </si>
  <si>
    <t>Normalised score out of 100</t>
  </si>
  <si>
    <t xml:space="preserve">  RISK RATING</t>
  </si>
  <si>
    <t>Low (0–39)  |  Medium (40–69)  |  High (70–100)</t>
  </si>
  <si>
    <t xml:space="preserve">  DUE DILIGENCE REQUIREMENT</t>
  </si>
  <si>
    <t xml:space="preserve">  COMPLIANCE APPROVAL FLAG</t>
  </si>
  <si>
    <t>Source: ARIE Finance Ltd — AML/CFT Risk Scoring Model v1.5  |  FATF Risk-Based Approach (Banking Sector) Guidance  |  Last Updated: March 2026</t>
  </si>
  <si>
    <t>ARIE FINANCE LTD — SCORE REFERENCE DATA</t>
  </si>
  <si>
    <t>1.1  Entity Type</t>
  </si>
  <si>
    <t>Listed Company on Regulated Exchange</t>
  </si>
  <si>
    <t>Low Risk</t>
  </si>
  <si>
    <t>Regulated Financial Institution</t>
  </si>
  <si>
    <t>Government / Public Sector Entity</t>
  </si>
  <si>
    <t>Large Private Company (revenue &gt; USD 10m)</t>
  </si>
  <si>
    <t>Medium Risk</t>
  </si>
  <si>
    <t>SME / Private Company</t>
  </si>
  <si>
    <t>Newly Incorporated Company (&lt; 1 year)</t>
  </si>
  <si>
    <t>High Risk</t>
  </si>
  <si>
    <t>Trust</t>
  </si>
  <si>
    <t>Foundation</t>
  </si>
  <si>
    <t>Regulated Fund (CIS / Licensed)</t>
  </si>
  <si>
    <t>Unregulated Fund / SPV</t>
  </si>
  <si>
    <t>Very High Risk</t>
  </si>
  <si>
    <t>Non-Profit Organisation / NGO</t>
  </si>
  <si>
    <t>Shell Company / Special Purpose Vehicle</t>
  </si>
  <si>
    <t>1.2  Ownership Structure</t>
  </si>
  <si>
    <t>Simple — direct identifiable UBOs</t>
  </si>
  <si>
    <t>1–2 ownership layers</t>
  </si>
  <si>
    <t>3+ ownership layers / nominee shareholders</t>
  </si>
  <si>
    <t>Complex multi-jurisdiction / opaque structure</t>
  </si>
  <si>
    <t>1.3  PEP Status</t>
  </si>
  <si>
    <t>No PEP connection</t>
  </si>
  <si>
    <t>Close associate or family member of PEP</t>
  </si>
  <si>
    <t>Domestic Politically Exposed Person (PEP)</t>
  </si>
  <si>
    <t>Foreign / International PEP</t>
  </si>
  <si>
    <t>1.4  Adverse Media / Negative News</t>
  </si>
  <si>
    <t>No adverse media identified</t>
  </si>
  <si>
    <t>Minor or unsubstantiated reports</t>
  </si>
  <si>
    <t>Confirmed adverse media / regulatory action</t>
  </si>
  <si>
    <t>2.1  Country of Incorporation</t>
  </si>
  <si>
    <t>FATF member — low risk jurisdiction</t>
  </si>
  <si>
    <t>FATF member — standard / emerging jurisdiction</t>
  </si>
  <si>
    <t>FATF Grey List country</t>
  </si>
  <si>
    <t>FATF Black List / sanctioned country</t>
  </si>
  <si>
    <t>2.4  Countries of Operation</t>
  </si>
  <si>
    <t>All low-risk jurisdictions</t>
  </si>
  <si>
    <t>Predominantly low-risk with some medium-risk jurisdictions</t>
  </si>
  <si>
    <t>Includes high-risk jurisdictions</t>
  </si>
  <si>
    <t>Predominantly high-risk or sanctioned jurisdictions</t>
  </si>
  <si>
    <t>2.5  Target Markets / Payment Corridors</t>
  </si>
  <si>
    <t>Developed markets only</t>
  </si>
  <si>
    <t>Mix of developed and emerging markets</t>
  </si>
  <si>
    <t>Predominantly emerging / frontier markets</t>
  </si>
  <si>
    <t>Includes sanctioned or very high-risk markets</t>
  </si>
  <si>
    <t>3.1  Primary Service Required</t>
  </si>
  <si>
    <t>Domestic payments only (single currency)</t>
  </si>
  <si>
    <t>Multi-currency corporate accounts</t>
  </si>
  <si>
    <t>Cross-border international transfers</t>
  </si>
  <si>
    <t>3.2  Expected Monthly Transaction Volume</t>
  </si>
  <si>
    <t>Under USD 50,000 per month</t>
  </si>
  <si>
    <t>USD 50,000 to USD 500,000 per month</t>
  </si>
  <si>
    <t>USD 500,000 to USD 5,000,000 per month</t>
  </si>
  <si>
    <t>Over USD 5,000,000 per month</t>
  </si>
  <si>
    <t>3.3  Transaction Complexity &amp; Corridors</t>
  </si>
  <si>
    <t>Simple — single currency, domestic corridors</t>
  </si>
  <si>
    <t>Standard — multi-currency, low-risk corridors</t>
  </si>
  <si>
    <t>Complex — multiple international corridors</t>
  </si>
  <si>
    <t>Very complex — includes high-risk corridors</t>
  </si>
  <si>
    <t>4.1  Business Sector / Industry</t>
  </si>
  <si>
    <t>Regulated Financial Institution / Bank</t>
  </si>
  <si>
    <t>Government / Public Sector</t>
  </si>
  <si>
    <t>Listed Company — Main Board</t>
  </si>
  <si>
    <t>Healthcare / Pharmaceuticals</t>
  </si>
  <si>
    <t>Technology / Software / SaaS</t>
  </si>
  <si>
    <t>Manufacturing / Industrial</t>
  </si>
  <si>
    <t>Retail / E-commerce</t>
  </si>
  <si>
    <t>Hospitality / Tourism / Travel</t>
  </si>
  <si>
    <t>Logistics / Supply Chain / Shipping</t>
  </si>
  <si>
    <t>Education / Training</t>
  </si>
  <si>
    <t>Media / Entertainment / Publishing</t>
  </si>
  <si>
    <t>Import / Export / International Trade</t>
  </si>
  <si>
    <t>Real Estate / Property</t>
  </si>
  <si>
    <t>Legal / Accounting / Advisory Services</t>
  </si>
  <si>
    <t>Money Service Business (MSB) / Remittance</t>
  </si>
  <si>
    <t>Forex / CFD / Derivatives Broker</t>
  </si>
  <si>
    <t>Private Banking / Wealth Management</t>
  </si>
  <si>
    <t>Precious Metals / Stones / Jewellery</t>
  </si>
  <si>
    <t>Non-Profit Organisation / NGO / Charity</t>
  </si>
  <si>
    <t>Oil &amp; Gas / Mining / Extractives</t>
  </si>
  <si>
    <t>Construction / Infrastructure</t>
  </si>
  <si>
    <t>Management Consulting</t>
  </si>
  <si>
    <t>Financial / Tax Advisory</t>
  </si>
  <si>
    <t>Cryptocurrency / Virtual Asset Services</t>
  </si>
  <si>
    <t>Gambling / Gaming / Betting</t>
  </si>
  <si>
    <t>Arms / Defence / Military Equipment</t>
  </si>
  <si>
    <t>Adult Entertainment</t>
  </si>
  <si>
    <t>Shell Company / Nominee Services</t>
  </si>
  <si>
    <t>5.1  Introduction / Referral Method</t>
  </si>
  <si>
    <t>Direct application — client initiated</t>
  </si>
  <si>
    <t>Introduced by regulated intermediary / agent</t>
  </si>
  <si>
    <t>Introduced by non-regulated intermediary</t>
  </si>
  <si>
    <t>Unsolicited / unknown referral source</t>
  </si>
  <si>
    <t>5.2  Customer Interaction Type</t>
  </si>
  <si>
    <t>In-person face-to-face meeting conducted</t>
  </si>
  <si>
    <t>Video KYC / video call conducted</t>
  </si>
  <si>
    <t>Non-face-to-face — low-risk jurisdiction</t>
  </si>
  <si>
    <t>Non-face-to-face — high-risk jurisdiction</t>
  </si>
  <si>
    <t>1.5  Source of Wealth</t>
  </si>
  <si>
    <t>Business revenue / trading profits</t>
  </si>
  <si>
    <t>Investment returns / dividends</t>
  </si>
  <si>
    <t>Sale of assets / property</t>
  </si>
  <si>
    <t>Venture capital / investor funding</t>
  </si>
  <si>
    <t>Government funding / grants</t>
  </si>
  <si>
    <t>Inheritance / family wealth</t>
  </si>
  <si>
    <t>Loan / credit facility proceeds</t>
  </si>
  <si>
    <t>Other</t>
  </si>
  <si>
    <t>1.6  Initial Source of Funds</t>
  </si>
  <si>
    <t>Transfer from company bank account</t>
  </si>
  <si>
    <t>Parent company / group entity transfer</t>
  </si>
  <si>
    <t>Client payments / receivables</t>
  </si>
  <si>
    <t>Revenue from business operations</t>
  </si>
  <si>
    <t>Shareholder / director capital injection</t>
  </si>
  <si>
    <t>Investment round / fundraise proceeds</t>
  </si>
  <si>
    <t>Loan / credit facility drawdown</t>
  </si>
  <si>
    <t>GEOGRAPHIC RISK ASSESSMENT — SCORING METHODOLOGY</t>
  </si>
  <si>
    <t>2.4  Countries of Operation — How to Assess</t>
  </si>
  <si>
    <t>All low-risk jurisdictions (Score 1)</t>
  </si>
  <si>
    <t>Every country where the entity operates scores 1 (Low Risk) on the Country Risk Reference table.</t>
  </si>
  <si>
    <t>Predominantly low-risk with some medium-risk (Score 2)</t>
  </si>
  <si>
    <t>The majority of operating countries score 1 (Low Risk), but one or more countries score 2 (Medium Risk). No country scores 3 or 4.</t>
  </si>
  <si>
    <t>Includes high-risk jurisdictions (Score 3)</t>
  </si>
  <si>
    <t>At least one country of operation scores 3 (High Risk) on the Country Risk Reference table — typically a FATF Grey List country. OR more than 30% of operating countries score 2.</t>
  </si>
  <si>
    <t>Predominantly high-risk or sanctioned (Score 4)</t>
  </si>
  <si>
    <t>At least one country of operation scores 4 (Very High Risk) — a FATF Black List country, sanctioned jurisdiction, or suspended member.</t>
  </si>
  <si>
    <t>2.5  Target Markets / Payment Corridors — How to Assess</t>
  </si>
  <si>
    <t>Developed markets only (Score 1)</t>
  </si>
  <si>
    <t>All target payment corridors involve countries classified as developed economies with mature financial regulatory frameworks.</t>
  </si>
  <si>
    <t>Mix of developed and emerging markets (Score 2)</t>
  </si>
  <si>
    <t>Payment corridors include both developed markets (score 1) and emerging markets scoring 2. No corridors involve Grey List, Black List, or sanctioned jurisdictions.</t>
  </si>
  <si>
    <t>Predominantly emerging / frontier markets (Score 3)</t>
  </si>
  <si>
    <t>The majority of payment corridors involve emerging or frontier markets, including countries scoring 2 or 3. May include FATF Grey List jurisdictions.</t>
  </si>
  <si>
    <t>Includes sanctioned or very high-risk markets (Score 4)</t>
  </si>
  <si>
    <t>At least one payment corridor involves a country scoring 4 (Very High Risk) on the Country Risk Reference table.</t>
  </si>
  <si>
    <t>GENERAL PRINCIPLE</t>
  </si>
  <si>
    <t>The 'highest risk dominates' rule applies: a single high-risk or sanctioned jurisdiction contaminates the overall geographic risk profile. When in doubt, assess conservatively (higher score). Use the Country Risk Reference sheet to look up individual country scores.</t>
  </si>
  <si>
    <t>ADVERSE MEDIA / NEGATIVE NEWS — SCORING DEFINITIONS</t>
  </si>
  <si>
    <t>No adverse media identified (Score 1 — Low Risk)</t>
  </si>
  <si>
    <t>Minor or unsubstantiated reports (Score 2 — Medium Risk)</t>
  </si>
  <si>
    <t>Adverse media exists but is minor in nature or cannot be substantiated through official sources.</t>
  </si>
  <si>
    <t>Confirmed adverse media / regulatory action (Score 4 — Very High Risk)</t>
  </si>
  <si>
    <t>Confirmed adverse media, regulatory action, or law enforcement involvement against the entity, its directors, UBOs, or closely connected parties.</t>
  </si>
  <si>
    <t>2.2  UBO Nationalities</t>
  </si>
  <si>
    <t>Assessment: Evaluate the nationalities of all UBOs and directors. Use the Country Risk Reference sheet to map each nationality to its corresponding country risk score. Apply the highest-risk-dominates rule.</t>
  </si>
  <si>
    <t>All UBOs/directors from low-risk jurisdictions</t>
  </si>
  <si>
    <t>Mix of low-risk and standard/emerging nationalities</t>
  </si>
  <si>
    <t>Includes FATF Grey List / high-risk nationalities</t>
  </si>
  <si>
    <t>Includes sanctioned / blacklisted nationalities</t>
  </si>
  <si>
    <t>2.3  Intermediary Shareholder Jurisdictions</t>
  </si>
  <si>
    <t>Assessment: Evaluate jurisdictions of all intermediary shareholders, holding companies, and nominee structures in the ownership chain. Secrecy jurisdictions (BVI, Panama, Cayman Islands, Seychelles, Bermuda, Jersey, Guernsey, Isle of Man, Liechtenstein, Vanuatu, Samoa, Marshall Islands) score 4.</t>
  </si>
  <si>
    <t>No intermediaries or all low-risk jurisdictions</t>
  </si>
  <si>
    <t>Intermediaries in standard / emerging jurisdictions</t>
  </si>
  <si>
    <t>Includes FATF Grey List / opaque jurisdictions</t>
  </si>
  <si>
    <t>Includes sanctioned / secrecy jurisdictions</t>
  </si>
  <si>
    <t>ARIE FINANCE LTD — COUNTRY RISK REFERENCE TABLE</t>
  </si>
  <si>
    <t>COUNTRY</t>
  </si>
  <si>
    <t>REGION</t>
  </si>
  <si>
    <t>FATF MEMBER</t>
  </si>
  <si>
    <t>FATF STATUS</t>
  </si>
  <si>
    <t>RISK SCORE</t>
  </si>
  <si>
    <t>RISK CATEGORY</t>
  </si>
  <si>
    <t>NOTES</t>
  </si>
  <si>
    <t>Australia</t>
  </si>
  <si>
    <t>Asia-Pacific</t>
  </si>
  <si>
    <t>Yes</t>
  </si>
  <si>
    <t>Clear</t>
  </si>
  <si>
    <t>FATF member; strong AML framework</t>
  </si>
  <si>
    <t>Canada</t>
  </si>
  <si>
    <t>Americas</t>
  </si>
  <si>
    <t>France</t>
  </si>
  <si>
    <t>Europe</t>
  </si>
  <si>
    <t>FATF founding member</t>
  </si>
  <si>
    <t>Germany</t>
  </si>
  <si>
    <t>Hong Kong SAR</t>
  </si>
  <si>
    <t>Strong regulatory framework</t>
  </si>
  <si>
    <t>Ireland</t>
  </si>
  <si>
    <t>EU member; robust AML laws</t>
  </si>
  <si>
    <t>Japan</t>
  </si>
  <si>
    <t>FATF member; strong controls</t>
  </si>
  <si>
    <t>Luxembourg</t>
  </si>
  <si>
    <t>EU financial centre</t>
  </si>
  <si>
    <t>Netherlands</t>
  </si>
  <si>
    <t>New Zealand</t>
  </si>
  <si>
    <t>Strong AML/CFT framework</t>
  </si>
  <si>
    <t>Singapore</t>
  </si>
  <si>
    <t>MAS-regulated; highly compliant</t>
  </si>
  <si>
    <t>Switzerland</t>
  </si>
  <si>
    <t>Strong FINMA-regulated framework</t>
  </si>
  <si>
    <t>United Kingdom</t>
  </si>
  <si>
    <t>FCA regulated; FATF member</t>
  </si>
  <si>
    <t>United States</t>
  </si>
  <si>
    <t>FATF founding member; FinCEN oversight</t>
  </si>
  <si>
    <t>Austria</t>
  </si>
  <si>
    <t>EU member; strong AML</t>
  </si>
  <si>
    <t>Belgium</t>
  </si>
  <si>
    <t>EU member</t>
  </si>
  <si>
    <t>Denmark</t>
  </si>
  <si>
    <t>Strong compliance culture</t>
  </si>
  <si>
    <t>Finland</t>
  </si>
  <si>
    <t>Norway</t>
  </si>
  <si>
    <t>Sweden</t>
  </si>
  <si>
    <t>South Korea</t>
  </si>
  <si>
    <t>FATF member; strong framework</t>
  </si>
  <si>
    <t>Israel</t>
  </si>
  <si>
    <t>Middle East</t>
  </si>
  <si>
    <t>FATF member</t>
  </si>
  <si>
    <t>Bahrain</t>
  </si>
  <si>
    <t>CBB regulated; growing compliance</t>
  </si>
  <si>
    <t>Botswana</t>
  </si>
  <si>
    <t>Africa</t>
  </si>
  <si>
    <t>Stable; FATF-compliant</t>
  </si>
  <si>
    <t>Brazil</t>
  </si>
  <si>
    <t>FATF member; large emerging market</t>
  </si>
  <si>
    <t>Chile</t>
  </si>
  <si>
    <t>FATF member; stable economy</t>
  </si>
  <si>
    <t>China</t>
  </si>
  <si>
    <t>FATF member; enhanced monitoring advised</t>
  </si>
  <si>
    <t>India</t>
  </si>
  <si>
    <t>FATF member; improving AML regime</t>
  </si>
  <si>
    <t>Indonesia</t>
  </si>
  <si>
    <t>FATF member; emerging market</t>
  </si>
  <si>
    <t>Kuwait</t>
  </si>
  <si>
    <t>FATF member; standard due diligence</t>
  </si>
  <si>
    <t>Malaysia</t>
  </si>
  <si>
    <t>FATF member; robust BNM oversight</t>
  </si>
  <si>
    <t>Mauritius</t>
  </si>
  <si>
    <t>FSC-regulated; previously EU-listed, now removed</t>
  </si>
  <si>
    <t>Mexico</t>
  </si>
  <si>
    <t>FATF member; monitor crime exposure</t>
  </si>
  <si>
    <t>Morocco</t>
  </si>
  <si>
    <t>FATF-style body member</t>
  </si>
  <si>
    <t>Oman</t>
  </si>
  <si>
    <t>CBO regulated; stable</t>
  </si>
  <si>
    <t>Qatar</t>
  </si>
  <si>
    <t>QCB regulated</t>
  </si>
  <si>
    <t>Rwanda</t>
  </si>
  <si>
    <t>Improving AML framework</t>
  </si>
  <si>
    <t>Saudi Arabia</t>
  </si>
  <si>
    <t>FATF member; SAMA regulated</t>
  </si>
  <si>
    <t>Seychelles</t>
  </si>
  <si>
    <t>IFC; FSA regulated</t>
  </si>
  <si>
    <t>Spain</t>
  </si>
  <si>
    <t>EU member; FATF member</t>
  </si>
  <si>
    <t>Turkey</t>
  </si>
  <si>
    <t>Europe/Asia</t>
  </si>
  <si>
    <t>Removed from grey list 2024; monitor progress</t>
  </si>
  <si>
    <t>UAE</t>
  </si>
  <si>
    <t>Removed from FATF grey list June 2024; enhanced monitoring still advised</t>
  </si>
  <si>
    <t>Uganda</t>
  </si>
  <si>
    <t>Improving compliance framework</t>
  </si>
  <si>
    <t>Ghana</t>
  </si>
  <si>
    <t>FATF-style body; improving AML</t>
  </si>
  <si>
    <t>Ivory Coast</t>
  </si>
  <si>
    <t>GIABA member; monitor closely</t>
  </si>
  <si>
    <t>Jordan</t>
  </si>
  <si>
    <t>Sri Lanka</t>
  </si>
  <si>
    <t>FATF member; post-crisis recovery</t>
  </si>
  <si>
    <t>Tunisia</t>
  </si>
  <si>
    <t>MENA-FATF member</t>
  </si>
  <si>
    <t>Algeria</t>
  </si>
  <si>
    <t>Grey List</t>
  </si>
  <si>
    <t>FATF grey list — enhanced due diligence required</t>
  </si>
  <si>
    <t>Burkina Faso</t>
  </si>
  <si>
    <t>FATF grey list — political instability</t>
  </si>
  <si>
    <t>Cameroon</t>
  </si>
  <si>
    <t>FATF grey list</t>
  </si>
  <si>
    <t>Democratic Rep. Congo</t>
  </si>
  <si>
    <t>FATF grey list — high corruption</t>
  </si>
  <si>
    <t>Haiti</t>
  </si>
  <si>
    <t>FATF grey list — political/economic crisis</t>
  </si>
  <si>
    <t>Kenya</t>
  </si>
  <si>
    <t>FATF grey list — AML deficiencies</t>
  </si>
  <si>
    <t>Laos</t>
  </si>
  <si>
    <t>Lebanon</t>
  </si>
  <si>
    <t>FATF grey list — financial crisis</t>
  </si>
  <si>
    <t>Mali</t>
  </si>
  <si>
    <t>FATF grey list — security issues</t>
  </si>
  <si>
    <t>Monaco</t>
  </si>
  <si>
    <t>Mozambique</t>
  </si>
  <si>
    <t>Nigeria</t>
  </si>
  <si>
    <t>FATF grey list — monitor closely</t>
  </si>
  <si>
    <t>Philippines</t>
  </si>
  <si>
    <t>Senegal</t>
  </si>
  <si>
    <t>South Africa</t>
  </si>
  <si>
    <t>South Sudan</t>
  </si>
  <si>
    <t>No</t>
  </si>
  <si>
    <t>FATF grey list — conflict zone</t>
  </si>
  <si>
    <t>Tanzania</t>
  </si>
  <si>
    <t>Venezuela</t>
  </si>
  <si>
    <t>FATF grey list — severe economic crisis</t>
  </si>
  <si>
    <t>Vietnam</t>
  </si>
  <si>
    <t>Yemen</t>
  </si>
  <si>
    <t>FATF grey list — conflict</t>
  </si>
  <si>
    <t>Iran</t>
  </si>
  <si>
    <t>Black List</t>
  </si>
  <si>
    <t>FATF Black List — comprehensive sanctions</t>
  </si>
  <si>
    <t>North Korea</t>
  </si>
  <si>
    <t>FATF Black List — UN sanctions</t>
  </si>
  <si>
    <t>Myanmar</t>
  </si>
  <si>
    <t>FATF Black List — military coup / sanctions</t>
  </si>
  <si>
    <t>Russia</t>
  </si>
  <si>
    <t>Suspended</t>
  </si>
  <si>
    <t>FATF membership suspended; comprehensive sanctions</t>
  </si>
  <si>
    <t>Syria</t>
  </si>
  <si>
    <t>Comprehensive sanctions</t>
  </si>
  <si>
    <t>Belarus</t>
  </si>
  <si>
    <t>EU/US sanctions; Russia-aligned</t>
  </si>
  <si>
    <t>Cuba</t>
  </si>
  <si>
    <t>US comprehensive sanctions</t>
  </si>
  <si>
    <t>Afghanistan</t>
  </si>
  <si>
    <t>Asia</t>
  </si>
  <si>
    <t>Taliban-controlled; sanctions apply</t>
  </si>
  <si>
    <t>Somalia</t>
  </si>
  <si>
    <t>Failed state; UN sanctions</t>
  </si>
  <si>
    <t>Libya</t>
  </si>
  <si>
    <t>Conflict zone; UN sanctions</t>
  </si>
  <si>
    <t>Eritrea</t>
  </si>
  <si>
    <t>UN sanctions</t>
  </si>
  <si>
    <t>Sudan</t>
  </si>
  <si>
    <t>Conflict; sanctions apply</t>
  </si>
  <si>
    <t>ARIE FINANCE LTD — AI DOCUMENT VERIFICATION CHECKS</t>
  </si>
  <si>
    <t>Automated checks performed on each uploaded document during client onboarding</t>
  </si>
  <si>
    <t>SECTION A — CORPORATE ENTITY DOCUMENTS</t>
  </si>
  <si>
    <t>#</t>
  </si>
  <si>
    <t>Document</t>
  </si>
  <si>
    <t>Check Name</t>
  </si>
  <si>
    <t>Verification Rule</t>
  </si>
  <si>
    <t>Check Type</t>
  </si>
  <si>
    <t>Client Prompt if Failed</t>
  </si>
  <si>
    <t>Certificate of Incorporation</t>
  </si>
  <si>
    <t>Entity Name Match</t>
  </si>
  <si>
    <t>Company name on certificate must match the applicant entity name</t>
  </si>
  <si>
    <t>Name</t>
  </si>
  <si>
    <t>Client prompted to verify or re-upload</t>
  </si>
  <si>
    <t>Registration Number</t>
  </si>
  <si>
    <t>Registration / incorporation number must be present and legible</t>
  </si>
  <si>
    <t>Content</t>
  </si>
  <si>
    <t>Client asked to upload a clearer copy</t>
  </si>
  <si>
    <t>Document Clarity</t>
  </si>
  <si>
    <t>Document must be legible; certified copy if applicable</t>
  </si>
  <si>
    <t>Quality</t>
  </si>
  <si>
    <t>Client asked to re-upload a clearer version</t>
  </si>
  <si>
    <t>Memorandum &amp; Articles of Association</t>
  </si>
  <si>
    <t>Company name must match the applicant entity</t>
  </si>
  <si>
    <t>Client prompted to verify</t>
  </si>
  <si>
    <t>Completeness</t>
  </si>
  <si>
    <t>All pages must be present and legible</t>
  </si>
  <si>
    <t>Client asked to re-upload full document</t>
  </si>
  <si>
    <t>Certification</t>
  </si>
  <si>
    <t>Must be a certified or signed copy</t>
  </si>
  <si>
    <t>Client prompted to upload certified version</t>
  </si>
  <si>
    <t>Certificate of Registration</t>
  </si>
  <si>
    <t>Company name must match</t>
  </si>
  <si>
    <t>Current Validity</t>
  </si>
  <si>
    <t>Must be current and not expired</t>
  </si>
  <si>
    <t>Expiry</t>
  </si>
  <si>
    <t>Client prompted: document is expired, upload valid version</t>
  </si>
  <si>
    <t>Must be legible and complete</t>
  </si>
  <si>
    <t>Client asked to re-upload a clearer copy</t>
  </si>
  <si>
    <t>Shareholder Register</t>
  </si>
  <si>
    <t>Ownership Consistency</t>
  </si>
  <si>
    <t>Shareholdings must match UBOs declared in application</t>
  </si>
  <si>
    <t>Client prompted: ownership does not match declared UBOs</t>
  </si>
  <si>
    <t>Total ownership must add up to 100%</t>
  </si>
  <si>
    <t>Client prompted: total does not sum to 100%</t>
  </si>
  <si>
    <t>Currency</t>
  </si>
  <si>
    <t>Register must reflect current shareholding structure</t>
  </si>
  <si>
    <t>Age (≤12 mo)</t>
  </si>
  <si>
    <t>Client prompted: document may be outdated</t>
  </si>
  <si>
    <t>Register of Directors</t>
  </si>
  <si>
    <t>Director Consistency</t>
  </si>
  <si>
    <t>Directors must match those declared in application</t>
  </si>
  <si>
    <t>Client prompted: directors do not match application</t>
  </si>
  <si>
    <t>All current directors must be listed</t>
  </si>
  <si>
    <t>Client prompted: list appears incomplete</t>
  </si>
  <si>
    <t>Must be legible</t>
  </si>
  <si>
    <t>Latest Annual Financial Statements / Management Accounts</t>
  </si>
  <si>
    <t>Financial Period</t>
  </si>
  <si>
    <t>Must be for most recent financial year; forecast if entity &lt; 1 year old</t>
  </si>
  <si>
    <t>Age (≤18 mo)</t>
  </si>
  <si>
    <t>Client prompted: statements are too old</t>
  </si>
  <si>
    <t>Company name on statements must match the applicant</t>
  </si>
  <si>
    <t>Client prompted to verify entity name</t>
  </si>
  <si>
    <t>Audit Status</t>
  </si>
  <si>
    <t>Preferably audited; management accounts acceptable for new entities</t>
  </si>
  <si>
    <t>Client informed: unaudited — management accounts noted</t>
  </si>
  <si>
    <t>Balance sheet, P&amp;L, and notes must be present</t>
  </si>
  <si>
    <t>Client prompted: financial statements appear incomplete</t>
  </si>
  <si>
    <t>Proof of Registered Address</t>
  </si>
  <si>
    <t>Document Date</t>
  </si>
  <si>
    <t>Must be dated within the last 3 months</t>
  </si>
  <si>
    <t>Age (≤3 mo)</t>
  </si>
  <si>
    <t>Client prompted: document is older than 3 months</t>
  </si>
  <si>
    <t>Entity name on document must match the applicant</t>
  </si>
  <si>
    <t>Document must be legible and unredacted</t>
  </si>
  <si>
    <t>Address Match</t>
  </si>
  <si>
    <t>Address must match the registered office address on application</t>
  </si>
  <si>
    <t>Client prompted: address does not match application</t>
  </si>
  <si>
    <t>Board Resolution</t>
  </si>
  <si>
    <t>Signatory Match</t>
  </si>
  <si>
    <t>Authorised signatory must be a declared director</t>
  </si>
  <si>
    <t>Client prompted: signatory is not a known director</t>
  </si>
  <si>
    <t>Resolution Date</t>
  </si>
  <si>
    <t>Must be dated and reasonably current</t>
  </si>
  <si>
    <t>Client prompted: resolution may be outdated</t>
  </si>
  <si>
    <t>Scope of Authority</t>
  </si>
  <si>
    <t>Must authorise the signatory to open the account</t>
  </si>
  <si>
    <t>Client prompted: resolution does not cover account opening</t>
  </si>
  <si>
    <t>Company Structure Chart</t>
  </si>
  <si>
    <t>UBO Chain</t>
  </si>
  <si>
    <t>Must trace ownership to ultimate beneficial owners</t>
  </si>
  <si>
    <t>Client prompted: UBO chain is incomplete</t>
  </si>
  <si>
    <t>Ownership Match</t>
  </si>
  <si>
    <t>Shareholdings must match shareholder register</t>
  </si>
  <si>
    <t>Client prompted: structure does not match register</t>
  </si>
  <si>
    <t>Legibility</t>
  </si>
  <si>
    <t>Diagram must be clear and readable</t>
  </si>
  <si>
    <t>Bank Reference Letter (High / Very High Risk only)</t>
  </si>
  <si>
    <t>Bank Letterhead</t>
  </si>
  <si>
    <t>Must be on official bank letterhead</t>
  </si>
  <si>
    <t>Client prompted: document does not appear to be on bank letterhead</t>
  </si>
  <si>
    <t>Client prompted: letter is older than 3 months</t>
  </si>
  <si>
    <t>Entity name must match the applicant</t>
  </si>
  <si>
    <t>Regulatory Licence(s)</t>
  </si>
  <si>
    <t>Licence Validity</t>
  </si>
  <si>
    <t>Licence must not be expired</t>
  </si>
  <si>
    <t>Client prompted: licence appears expired</t>
  </si>
  <si>
    <t>Licensee name must match the applicant entity</t>
  </si>
  <si>
    <t>Licence Scope</t>
  </si>
  <si>
    <t>Licence must cover the activities described in the application</t>
  </si>
  <si>
    <t>Client prompted: licence scope may not cover declared activities</t>
  </si>
  <si>
    <t>SECTION B — DIRECTORS &amp; UBO IDENTITY DOCUMENTS</t>
  </si>
  <si>
    <t>Passport / Government ID</t>
  </si>
  <si>
    <t>Document Expiry</t>
  </si>
  <si>
    <t>Must not be expired; at least 6 months validity remaining recommended</t>
  </si>
  <si>
    <t>Client prompted: passport/ID is expired or nearing expiry</t>
  </si>
  <si>
    <t>Photo Quality</t>
  </si>
  <si>
    <t>Photo must be clear and identifiable</t>
  </si>
  <si>
    <t>Client asked to re-upload a clearer image</t>
  </si>
  <si>
    <t>Name Match</t>
  </si>
  <si>
    <t>Name must match the person declared in the application</t>
  </si>
  <si>
    <t>Client prompted: name does not match application</t>
  </si>
  <si>
    <t>Nationality Match</t>
  </si>
  <si>
    <t>Nationality must match the nationality declared in application</t>
  </si>
  <si>
    <t>Client prompted: nationality mismatch detected</t>
  </si>
  <si>
    <t>Proof of Address (Personal)</t>
  </si>
  <si>
    <t>Name on document must match the person declared</t>
  </si>
  <si>
    <t>Client prompted: name does not match</t>
  </si>
  <si>
    <t>Must be legible and show full address</t>
  </si>
  <si>
    <t>Must be certified by a notary, lawyer, or bank officer</t>
  </si>
  <si>
    <t>Client prompted: document does not appear to be certified</t>
  </si>
  <si>
    <t>CV / LinkedIn Profile</t>
  </si>
  <si>
    <t>Name on CV/profile must match declared identity</t>
  </si>
  <si>
    <t>Client prompted: name mismatch</t>
  </si>
  <si>
    <t>Employment History</t>
  </si>
  <si>
    <t>Should include relevant professional background</t>
  </si>
  <si>
    <t>Client informed: CV appears incomplete</t>
  </si>
  <si>
    <t>PEP Declaration Form (if applicable)</t>
  </si>
  <si>
    <t>All required fields must be completed (function, net worth, origin of funds)</t>
  </si>
  <si>
    <t>Client prompted: PEP declaration is incomplete</t>
  </si>
  <si>
    <t>Source of Wealth Evidence</t>
  </si>
  <si>
    <t>Supporting documents must match declared origin of funds/wealth</t>
  </si>
  <si>
    <t>Client prompted: supporting evidence does not match declaration</t>
  </si>
  <si>
    <t>Consistency</t>
  </si>
  <si>
    <t>Declared assets/liabilities must be plausible given declared functions</t>
  </si>
  <si>
    <t>Flagged for compliance manual review</t>
  </si>
  <si>
    <t>Bank Reference Letter (PEP — Required)</t>
  </si>
  <si>
    <t>Client prompted: bank reference letter is older than 3 months</t>
  </si>
  <si>
    <t>Name must match the declared person</t>
  </si>
  <si>
    <t>Bank Identification</t>
  </si>
  <si>
    <t>Must be on official bank letterhead with branch/SWIFT details visible</t>
  </si>
  <si>
    <t>Client prompted: document does not appear to be on official bank letterhead</t>
  </si>
  <si>
    <t>Account Standing</t>
  </si>
  <si>
    <t>Must confirm account in good standing for at least 12 months</t>
  </si>
  <si>
    <t>Client prompted: letter does not confirm minimum 12-month account standing</t>
  </si>
  <si>
    <t>ARIE FINANCE LTD — AI AGENT REGISTRY</t>
  </si>
  <si>
    <t>AI-assisted compliance pipeline — agent definitions, trigger points, and outputs</t>
  </si>
  <si>
    <t>ONBOARDING AGENTS (1-5)</t>
  </si>
  <si>
    <t>Agent Name</t>
  </si>
  <si>
    <t>Purpose</t>
  </si>
  <si>
    <t>Trigger Point</t>
  </si>
  <si>
    <t>Key Checks / Inputs</t>
  </si>
  <si>
    <t>Output</t>
  </si>
  <si>
    <t>Status</t>
  </si>
  <si>
    <t>Identity &amp; Document Integrity Agent</t>
  </si>
  <si>
    <t>Automatically read, validate, and cross-reference uploaded documents in real time. Performs 66 automated checks across 16 document types.</t>
  </si>
  <si>
    <t>Each document upload (real-time, immediate feedback)</t>
  </si>
  <si>
    <t>OCR text extraction &amp; document type identification
Expiry / validity detection
Date checks (3mo / 6mo / 12mo / 18mo rules)
Name matching (entity &amp; person)
Document clarity / legibility scoring
Cross-document consistency checks
Duplicate detection
Registry verification
Completeness scoring</t>
  </si>
  <si>
    <t>Per-document: Pass / Warning / Fail with specific client prompts
Aggregate: Document completeness score
Cross-reference: Name &amp; registry match summary</t>
  </si>
  <si>
    <t>Live</t>
  </si>
  <si>
    <t>Corporate Structure &amp; UBO Mapping Agent</t>
  </si>
  <si>
    <t>Analyse declared ownership structures, trace beneficial ownership chains, and identify ultimate beneficial owners (UBOs).</t>
  </si>
  <si>
    <t>After application form submission, during AI risk scoring phase</t>
  </si>
  <si>
    <t>Ownership chain tracing (direct &amp; indirect)
UBO identification (≥25% threshold)
Multi-layered entity detection
Circular ownership detection
Nominee / trust identification
Shareholder register cross-reference
Structure chart validation
PEP/sanctions check on all identified UBOs</t>
  </si>
  <si>
    <t>Simple Structure → Proceed
Complex Structure → Flag for enhanced review
Opaque / Circular → Escalate to compliance</t>
  </si>
  <si>
    <t>Business Model Plausibility Agent</t>
  </si>
  <si>
    <t>Evaluate whether the business story is plausible and internally consistent. Compare against industry benchmarks.</t>
  </si>
  <si>
    <t>During AI risk scoring phase (after application submission)</t>
  </si>
  <si>
    <t>Business description vs sector alignment
Transaction volume vs company size benchmarking
Geography vs business model logic
Revenue model plausibility
Industry norm comparison
Payment corridor risk assessment
Source of funds vs business activity consistency
Source of wealth vs entity profile</t>
  </si>
  <si>
    <t>Consistent → Proceed
Needs Clarification → Flag specific areas
Suspicious Profile → Escalate with reasoning</t>
  </si>
  <si>
    <t>FinCrime Screening Interpretation Agent</t>
  </si>
  <si>
    <t>Analyse screening results from sanctions, PEP, and adverse media databases. Consolidate hits, remove false positives.</t>
  </si>
  <si>
    <t>During AI risk scoring phase</t>
  </si>
  <si>
    <t>Global sanctions screening (UN, EU, OFAC, HMT)
PEP database analysis (World-Check, Dow Jones)
Adverse media scanning (100,000+ sources)
False positive analysis &amp; reduction
Hit severity ranking &amp; categorisation
Consolidated risk narrative generation</t>
  </si>
  <si>
    <t>All Clear → No escalation needed
Review Required → True positive identified with context
Escalate → Confirmed match (sanctions/PEP) with evidence</t>
  </si>
  <si>
    <t>Compliance Memo &amp; Risk Recommendation Agent</t>
  </si>
  <si>
    <t>Combine all signals from all agents into a structured compliance memo with risk recommendation. AI never approves — only recommends.</t>
  </si>
  <si>
    <t>End of AI risk scoring phase (after all other agents complete)</t>
  </si>
  <si>
    <t>5-dimension weighted composite scoring
Jurisdiction risk (Dimension 2)
Industry risk (Dimension 4)
Ownership complexity (Dimension 1)
Screening results integration
Document completeness signal
Business plausibility assessment
Complete compliance memo generation</t>
  </si>
  <si>
    <t>Risk Score (0-100) + Level (Low/Medium/High/Very High)
Decision Routing:
  LOW/MEDIUM → KYC &amp; Documents stage
  HIGH/VERY HIGH → Compliance review + notification
Full compliance memo with all findings</t>
  </si>
  <si>
    <t>Periodic Review Preparation Agent</t>
  </si>
  <si>
    <t>Track review schedules, identify expired documents, and prepare review packages for compliance officers.</t>
  </si>
  <si>
    <t>Scheduled (based on risk-level review cycles: annual/biannual/quarterly)</t>
  </si>
  <si>
    <t>Review cycle tracking by risk level
Expired document identification
Document renewal deadline monitoring
Review package preparation
Priority scoring for overdue reviews
Client notification triggers</t>
  </si>
  <si>
    <t>Up to Date → No action needed
Review Due → Package prepared for compliance
Documents Pending → Client notified to upload
Overdue → Escalated to compliance manager</t>
  </si>
  <si>
    <t>Adverse Media &amp; PEP Monitoring Agent</t>
  </si>
  <si>
    <t>Continuous monitoring of adverse media and PEP databases for all active clients.</t>
  </si>
  <si>
    <t>Ongoing (daily automated scans + event-driven alerts)</t>
  </si>
  <si>
    <t>New adverse media detection (100,000+ sources)
Sanctions list update monitoring (UN, EU, OFAC, HMT)
PEP status change detection
New directorship / association alerts
Severity classification &amp; false positive filtering
Historical trend analysis</t>
  </si>
  <si>
    <t>No Change → Continue monitoring
New Alert → Risk change detected with context
Escalate → Immediate compliance review required</t>
  </si>
  <si>
    <t>Behaviour &amp; Risk Drift Agent</t>
  </si>
  <si>
    <t>Monitor changes in client activity patterns and risk profile over time.</t>
  </si>
  <si>
    <t>Ongoing (event-driven + periodic analysis)</t>
  </si>
  <si>
    <t>Transaction pattern vs declared volumes
Geographic activity vs declared corridors
New product/service usage detection
Counterparty risk changes
Volume spike / drop analysis
Seasonal pattern deviation</t>
  </si>
  <si>
    <t>Within Expected → Continue monitoring
Drift Detected → Flag for review with analysis
Significant Deviation → Escalate with full report</t>
  </si>
  <si>
    <t>Regulatory Impact Agent</t>
  </si>
  <si>
    <t>Monitor regulatory changes across relevant jurisdictions and assess impact on existing client portfolio.</t>
  </si>
  <si>
    <t>Event-driven (new regulation / guidance published)</t>
  </si>
  <si>
    <t>Regulatory change detection (FSC, BoM, FATF, EU)
Client portfolio impact assessment
Jurisdiction-specific rule mapping
Licence requirement change monitoring
Compliance deadline tracking
Gap analysis (current vs new requirements)</t>
  </si>
  <si>
    <t>No Impact → Log for records
Minor Impact → Update client risk profile
Significant Impact → Compliance action required with deadline</t>
  </si>
  <si>
    <t>Future Phase</t>
  </si>
  <si>
    <t>Ongoing Compliance Review Agent</t>
  </si>
  <si>
    <t>Generate periodic compliance review reports consolidating all monitoring signals.</t>
  </si>
  <si>
    <t>Scheduled (aligned with periodic review cycles)</t>
  </si>
  <si>
    <t>All monitoring agent signal consolidation
Risk score trend analysis
Incident history compilation
Document status summary
Compliance action tracking
Recommendation generation for review outcome</t>
  </si>
  <si>
    <t>Low Risk → Maintain current status
Elevated Risk → Enhanced monitoring recommended
High Risk → Relationship review / exit consideration</t>
  </si>
  <si>
    <t>ONGOING MONITORING AGENTS (6-10)</t>
  </si>
  <si>
    <t>AI COMPLIANCE PIPELINE FLOW</t>
  </si>
  <si>
    <t>Client Portal</t>
  </si>
  <si>
    <t>Registration &amp; Login</t>
  </si>
  <si>
    <t>—</t>
  </si>
  <si>
    <t>→</t>
  </si>
  <si>
    <t>Application Form</t>
  </si>
  <si>
    <t>AI Risk Scoring</t>
  </si>
  <si>
    <t>Corporate Structure &amp; UBO Mapping + Business Model Plausibility + FinCrime Screening Interpretation + Compliance Memo &amp; Risk Recommendation</t>
  </si>
  <si>
    <t>Decision Routing</t>
  </si>
  <si>
    <t>LOW/MEDIUM Risk → KYC &amp; Documents
HIGH/VERY HIGH Risk → Compliance Review + Notification</t>
  </si>
  <si>
    <t>KYC Document Upload</t>
  </si>
  <si>
    <t>Identity &amp; Document Integrity Agent (66 checks)</t>
  </si>
  <si>
    <t>Pre-Submission Review</t>
  </si>
  <si>
    <t>Final Submission</t>
  </si>
  <si>
    <t>Human Compliance Review</t>
  </si>
  <si>
    <t>Compliance officer makes final decision</t>
  </si>
  <si>
    <t>Account Activated</t>
  </si>
  <si>
    <t>Monitoring Agents (6-10) begin lifecycle monitoring</t>
  </si>
  <si>
    <t>STRATEGIC ADVANTAGE</t>
  </si>
  <si>
    <t>With this AI-assisted compliance pipeline, ARIE Finance can realistically achieve low-risk onboarding decisions in 24 hours or less — extremely competitive compared to traditional banks and payment institutions. The 5 monitoring agents provide continuous lifecycle risk management post-onboarding.</t>
  </si>
  <si>
    <t>Total AI Agents: 10 (5 Onboarding + 5 Monitoring)  |  Total AI Verification Checks: 66  |  Document Types Covered: 16</t>
  </si>
  <si>
    <t>ARIE FINANCE LTD — RISK SCORING MODEL: METHODOLOGY</t>
  </si>
  <si>
    <t>AML/CFT Risk Assessment Framework — Version 1.5</t>
  </si>
  <si>
    <t xml:space="preserve">  PURPOSE</t>
  </si>
  <si>
    <t>This model provides a standardised, repeatable risk assessment framework for all corporate clients applying for Payment Intermediary Services (PIS) through ARIE Finance Ltd. It is designed to comply with the FATF Risk-Based Approach for banking and payment institutions.</t>
  </si>
  <si>
    <t xml:space="preserve">  REGULATORY BASIS</t>
  </si>
  <si>
    <t>FATF Recommendations (2012, updated 2023) | FATF Risk-Based Approach Guidance: Banking Sector | FSC Mauritius AML/CFT Guidelines | Bank of Mauritius AML/CFT Guideline (2022)</t>
  </si>
  <si>
    <t xml:space="preserve">  SCORING SCALE</t>
  </si>
  <si>
    <t>Each sub-factor is scored on a 1–4 scale:
  1 = Low Risk
  2 = Medium Risk
  3 = High Risk
  4 = Very High Risk</t>
  </si>
  <si>
    <t xml:space="preserve">  DIMENSION WEIGHTS</t>
  </si>
  <si>
    <t>Dimension 1: Customer / Entity Risk — 30%
Dimension 2: Geographic Risk — 25%
  • 2.1 Country of Incorporation (25%)
  • 2.2 UBO Nationalities (20%)
  • 2.3 Intermediary Shareholder Jurisdictions (20%)
  • 2.4 Countries of Operation (20%)
  • 2.5 Target Markets / Payment Corridors (15%)
Dimension 3: Product / Service Risk — 20%
Dimension 4: Industry / Sector Risk — 15%
Dimension 5: Delivery Channel Risk — 10%
Sub-factors 1.5 (Source of Wealth) and 1.6 (Initial Source of Funds) are included under Dimension 1 as customer-level risk indicators.</t>
  </si>
  <si>
    <t xml:space="preserve">  COMPOSITE SCORE</t>
  </si>
  <si>
    <t>The weighted composite score is calculated as:
  Score = (Sum of all dimension weighted scores ÷ 4) × 100
This produces a normalised score from 0 to 100.</t>
  </si>
  <si>
    <t xml:space="preserve">  RISK THRESHOLDS</t>
  </si>
  <si>
    <t>Low Risk: Score 0–39 → Simplified Due Diligence (SDD)
Medium Risk: Score 40–69 → Customer Due Diligence (CDD)
High Risk: Score 70–100 → Enhanced Due Diligence (EDD)</t>
  </si>
  <si>
    <t xml:space="preserve">  COMPLIANCE ESCALATION</t>
  </si>
  <si>
    <t>Compliance approval is MANDATORY before proceeding when:
  (a) Any individual sub-factor scores 4 (Very High Risk), OR
  (b) The business sector is classified as Very High Risk, OR
  (c) The overall composite score is 85 or above.
All escalated cases must be reviewed and approved by the Chief Compliance Officer.</t>
  </si>
  <si>
    <t xml:space="preserve">  DUE DILIGENCE LEVELS</t>
  </si>
  <si>
    <t>SDD (Low Risk): Standard identity verification, basic UBO check, standard document collection
CDD (Medium Risk): Full KYC, UBO verification, source of funds, business verification
EDD (High Risk): All CDD plus senior management approval, enhanced source of funds/wealth, ongoing enhanced monitoring, annual review</t>
  </si>
  <si>
    <t xml:space="preserve">  VERY HIGH RISK SECTORS</t>
  </si>
  <si>
    <t>The following sectors are automatically flagged for compliance approval regardless of overall score:
  • Cryptocurrency / Virtual Asset Services
  • Gambling / Gaming / Betting
  • Arms / Defence / Military Equipment
  • Adult Entertainment
  • Shell Company / Nominee Services</t>
  </si>
  <si>
    <t xml:space="preserve">  REVIEW SCHEDULE</t>
  </si>
  <si>
    <t>This model must be reviewed:
  • Annually as part of the AML/CFT annual review
  • Following each FATF Plenary (February, June, October)
  • Following any material change to ARIE Finance's business model or client base
  • Following any regulatory guidance update from FSC Mauritius or Bank of Mauritius</t>
  </si>
  <si>
    <t xml:space="preserve">  VERSION CONTROL</t>
  </si>
  <si>
    <t>Version 1.5 — 17 March 2026
Change: Geographic Risk (Dimension 2) expanded from 3 to 5 sub-criteria. Added UBO Nationalities (20%) and Intermediary Shareholder Jurisdictions (20%) as new sub-factors. Rebalanced geographic sub-factor weights: Country of Incorporation 25%, UBO Nationalities 20%, Intermediary Shareholder Jurisdictions 20%, Countries of Operation 20%, Target Markets 15%. Updated VLOOKUP ranges and data validations. Entity types expanded in v1.4 (Trust, Foundation, Regulated Fund, Unregulated Fund/SPV split). Added Management Consulting and Financial/Tax Advisory sectors.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</si>
</sst>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charset val="1"/>
    </font>
    <font>
      <b/>
      <sz val="15"/>
      <color rgb="FFFFFFFF"/>
      <name val="Arial"/>
      <family val="2"/>
    </font>
    <font>
      <sz val="10"/>
      <color rgb="FFFFFFFF"/>
      <name val="Arial"/>
      <family val="2"/>
    </font>
    <font>
      <b/>
      <sz val="10"/>
      <color rgb="FF1A1D2E"/>
      <name val="Arial"/>
      <family val="2"/>
    </font>
    <font>
      <sz val="10"/>
      <color rgb="FF0000FF"/>
      <name val="Arial"/>
      <family val="2"/>
    </font>
    <font>
      <b/>
      <sz val="9"/>
      <color rgb="FFFFFFFF"/>
      <name val="Arial"/>
      <family val="2"/>
    </font>
    <font>
      <b/>
      <sz val="10"/>
      <color rgb="FFFFFFFF"/>
      <name val="Arial"/>
      <family val="2"/>
    </font>
    <font>
      <sz val="10"/>
      <color rgb="FF1A1D2E"/>
      <name val="Arial"/>
      <family val="2"/>
    </font>
    <font>
      <sz val="9"/>
      <color rgb="FFFFFFFF"/>
      <name val="Arial"/>
      <family val="2"/>
    </font>
    <font>
      <b/>
      <sz val="11"/>
      <color rgb="FFFFFFFF"/>
      <name val="Arial"/>
      <family val="2"/>
    </font>
    <font>
      <sz val="9"/>
      <color rgb="FF1A1D2E"/>
      <name val="Arial"/>
      <family val="2"/>
    </font>
    <font>
      <b/>
      <sz val="14"/>
      <color rgb="FF1A1D2E"/>
      <name val="Arial"/>
      <family val="2"/>
    </font>
    <font>
      <b/>
      <sz val="12"/>
      <color rgb="FF1A1D2E"/>
      <name val="Arial"/>
      <family val="2"/>
    </font>
    <font>
      <sz val="8"/>
      <color rgb="FF888888"/>
      <name val="Arial"/>
      <family val="2"/>
    </font>
    <font>
      <b/>
      <sz val="12"/>
      <color rgb="FFFFFFFF"/>
      <name val="Arial"/>
      <family val="2"/>
    </font>
    <font>
      <b/>
      <sz val="9"/>
      <color rgb="FF1E8449"/>
      <name val="Arial"/>
      <family val="2"/>
    </font>
    <font>
      <sz val="9"/>
      <color rgb="FF1E8449"/>
      <name val="Arial"/>
      <family val="2"/>
    </font>
    <font>
      <b/>
      <sz val="9"/>
      <color rgb="FF9A7D0A"/>
      <name val="Arial"/>
      <family val="2"/>
    </font>
    <font>
      <sz val="9"/>
      <color rgb="FF9A7D0A"/>
      <name val="Arial"/>
      <family val="2"/>
    </font>
    <font>
      <b/>
      <sz val="9"/>
      <color rgb="FFC0392B"/>
      <name val="Arial"/>
      <family val="2"/>
    </font>
    <font>
      <sz val="9"/>
      <color rgb="FFC0392B"/>
      <name val="Arial"/>
      <family val="2"/>
    </font>
    <font>
      <b/>
      <sz val="9"/>
      <color rgb="FF922B21"/>
      <name val="Arial"/>
      <family val="2"/>
    </font>
    <font>
      <sz val="9"/>
      <color rgb="FF922B21"/>
      <name val="Arial"/>
      <family val="2"/>
    </font>
    <font>
      <b/>
      <sz val="9"/>
      <color rgb="FF1A1D2E"/>
      <name val="Arial"/>
      <family val="2"/>
    </font>
  </fonts>
  <fills count="12">
    <fill>
      <patternFill patternType="none"/>
    </fill>
    <fill>
      <patternFill patternType="gray125"/>
    </fill>
    <fill>
      <patternFill patternType="solid">
        <fgColor rgb="FF2B2F8F"/>
        <bgColor rgb="FF003366"/>
      </patternFill>
    </fill>
    <fill>
      <patternFill patternType="solid">
        <fgColor rgb="FF1A75CB"/>
        <bgColor rgb="FF3366FF"/>
      </patternFill>
    </fill>
    <fill>
      <patternFill patternType="solid">
        <fgColor rgb="FFF4F6FA"/>
        <bgColor rgb="FFEEF2FA"/>
      </patternFill>
    </fill>
    <fill>
      <patternFill patternType="solid">
        <fgColor rgb="FFFFFFFF"/>
        <bgColor rgb="FFF4F6FA"/>
      </patternFill>
    </fill>
    <fill>
      <patternFill patternType="solid">
        <fgColor rgb="FFEEF2FA"/>
        <bgColor rgb="FFF4F6FA"/>
      </patternFill>
    </fill>
    <fill>
      <patternFill patternType="solid">
        <fgColor rgb="FFB8955A"/>
        <bgColor rgb="FF888888"/>
      </patternFill>
    </fill>
    <fill>
      <patternFill patternType="solid">
        <fgColor rgb="FFD5F5E3"/>
        <bgColor rgb="FFEEF2FA"/>
      </patternFill>
    </fill>
    <fill>
      <patternFill patternType="solid">
        <fgColor rgb="FFFDEBD0"/>
        <bgColor rgb="FFFADBD8"/>
      </patternFill>
    </fill>
    <fill>
      <patternFill patternType="solid">
        <fgColor rgb="FFFADBD8"/>
        <bgColor rgb="FFFDEBD0"/>
      </patternFill>
    </fill>
    <fill>
      <patternFill patternType="solid">
        <fgColor rgb="FFF5B7B1"/>
        <bgColor rgb="FFFF99CC"/>
      </patternFill>
    </fill>
  </fills>
  <borders count="1">
    <border>
      <left/>
      <right/>
      <top/>
      <bottom/>
      <diagonal/>
    </border>
  </borders>
  <cellStyleXfs count="1">
    <xf numFmtId="0" fontId="0" fillId="0" borderId="0"/>
  </cellStyleXfs>
  <cellXfs count="50">
    <xf numFmtId="0" fontId="0" fillId="0" borderId="0" xfId="0"/>
    <xf numFmtId="0" fontId="10" fillId="6" borderId="0" xfId="0" applyFont="1" applyFill="1" applyAlignment="1">
      <alignment horizontal="left" vertical="center" wrapText="1"/>
    </xf>
    <xf numFmtId="0" fontId="10" fillId="5" borderId="0" xfId="0" applyFont="1" applyFill="1" applyAlignment="1">
      <alignment horizontal="left" vertical="center"/>
    </xf>
    <xf numFmtId="0" fontId="10" fillId="5" borderId="0" xfId="0" applyFont="1" applyFill="1" applyAlignment="1">
      <alignment horizontal="left" vertical="center" wrapText="1"/>
    </xf>
    <xf numFmtId="0" fontId="14" fillId="2" borderId="0" xfId="0" applyFont="1" applyFill="1" applyAlignment="1">
      <alignment horizontal="center" vertical="center"/>
    </xf>
    <xf numFmtId="0" fontId="13" fillId="5" borderId="0" xfId="0" applyFont="1" applyFill="1" applyAlignment="1">
      <alignment horizontal="left" vertical="center"/>
    </xf>
    <xf numFmtId="0" fontId="3" fillId="4" borderId="0" xfId="0" applyFont="1" applyFill="1" applyAlignment="1">
      <alignment horizontal="left" vertical="center"/>
    </xf>
    <xf numFmtId="0" fontId="10" fillId="4" borderId="0" xfId="0" applyFont="1" applyFill="1" applyAlignment="1">
      <alignment horizontal="center" vertical="center"/>
    </xf>
    <xf numFmtId="0" fontId="9" fillId="2" borderId="0" xfId="0" applyFont="1" applyFill="1" applyAlignment="1">
      <alignment horizontal="left" vertical="center"/>
    </xf>
    <xf numFmtId="0" fontId="8" fillId="7" borderId="0" xfId="0" applyFont="1" applyFill="1" applyAlignment="1">
      <alignment horizontal="center" vertical="center"/>
    </xf>
    <xf numFmtId="0" fontId="6" fillId="3" borderId="0" xfId="0" applyFont="1" applyFill="1" applyAlignment="1">
      <alignment horizontal="left" vertical="center"/>
    </xf>
    <xf numFmtId="0" fontId="4" fillId="5" borderId="0" xfId="0" applyFont="1" applyFill="1" applyAlignment="1">
      <alignment horizontal="left" vertical="center"/>
    </xf>
    <xf numFmtId="0" fontId="0" fillId="5" borderId="0" xfId="0" applyFill="1"/>
    <xf numFmtId="0" fontId="2" fillId="3" borderId="0" xfId="0" applyFont="1" applyFill="1" applyAlignment="1">
      <alignment horizontal="center" vertical="center"/>
    </xf>
    <xf numFmtId="0" fontId="1" fillId="2" borderId="0" xfId="0" applyFont="1" applyFill="1" applyAlignment="1">
      <alignment horizontal="center" vertical="center"/>
    </xf>
    <xf numFmtId="0" fontId="3" fillId="4" borderId="0" xfId="0" applyFont="1" applyFill="1" applyAlignment="1">
      <alignment horizontal="left" vertical="center"/>
    </xf>
    <xf numFmtId="0" fontId="4" fillId="5" borderId="0" xfId="0" applyFont="1" applyFill="1" applyAlignment="1">
      <alignment horizontal="left" vertical="center"/>
    </xf>
    <xf numFmtId="0" fontId="5" fillId="2" borderId="0" xfId="0" applyFont="1" applyFill="1" applyAlignment="1">
      <alignment horizontal="center" vertical="center"/>
    </xf>
    <xf numFmtId="0" fontId="7" fillId="5" borderId="0" xfId="0" applyFont="1" applyFill="1" applyAlignment="1">
      <alignment horizontal="left" vertical="center"/>
    </xf>
    <xf numFmtId="0" fontId="3" fillId="5" borderId="0" xfId="0" applyFont="1" applyFill="1" applyAlignment="1">
      <alignment horizontal="center" vertical="center"/>
    </xf>
    <xf numFmtId="0" fontId="7" fillId="5" borderId="0" xfId="0" applyFont="1" applyFill="1" applyAlignment="1">
      <alignment horizontal="center" vertical="center"/>
    </xf>
    <xf numFmtId="0" fontId="7" fillId="6" borderId="0" xfId="0" applyFont="1" applyFill="1" applyAlignment="1">
      <alignment horizontal="left" vertical="center"/>
    </xf>
    <xf numFmtId="0" fontId="3" fillId="6" borderId="0" xfId="0" applyFont="1" applyFill="1" applyAlignment="1">
      <alignment horizontal="center" vertical="center"/>
    </xf>
    <xf numFmtId="0" fontId="7" fillId="6" borderId="0" xfId="0" applyFont="1" applyFill="1" applyAlignment="1">
      <alignment horizontal="center" vertical="center"/>
    </xf>
    <xf numFmtId="0" fontId="6" fillId="7" borderId="0" xfId="0" applyFont="1" applyFill="1" applyAlignment="1">
      <alignment horizontal="left" vertical="center"/>
    </xf>
    <xf numFmtId="0" fontId="6" fillId="7" borderId="0" xfId="0" applyFont="1" applyFill="1" applyAlignment="1">
      <alignment horizontal="center" vertical="center"/>
    </xf>
    <xf numFmtId="0" fontId="11" fillId="4" borderId="0" xfId="0" applyFont="1" applyFill="1" applyAlignment="1">
      <alignment horizontal="center" vertical="center"/>
    </xf>
    <xf numFmtId="0" fontId="12" fillId="4" borderId="0" xfId="0" applyFont="1" applyFill="1" applyAlignment="1">
      <alignment horizontal="center" vertical="center"/>
    </xf>
    <xf numFmtId="0" fontId="10" fillId="5" borderId="0" xfId="0" applyFont="1" applyFill="1" applyAlignment="1">
      <alignment horizontal="left" vertical="center"/>
    </xf>
    <xf numFmtId="0" fontId="15" fillId="8" borderId="0" xfId="0" applyFont="1" applyFill="1" applyAlignment="1">
      <alignment horizontal="center" vertical="center"/>
    </xf>
    <xf numFmtId="0" fontId="16" fillId="8" borderId="0" xfId="0" applyFont="1" applyFill="1" applyAlignment="1">
      <alignment horizontal="center" vertical="center"/>
    </xf>
    <xf numFmtId="0" fontId="10" fillId="6" borderId="0" xfId="0" applyFont="1" applyFill="1" applyAlignment="1">
      <alignment horizontal="left" vertical="center"/>
    </xf>
    <xf numFmtId="0" fontId="17" fillId="9" borderId="0" xfId="0" applyFont="1" applyFill="1" applyAlignment="1">
      <alignment horizontal="center" vertical="center"/>
    </xf>
    <xf numFmtId="0" fontId="18" fillId="9" borderId="0" xfId="0" applyFont="1" applyFill="1" applyAlignment="1">
      <alignment horizontal="center" vertical="center"/>
    </xf>
    <xf numFmtId="0" fontId="19" fillId="10" borderId="0" xfId="0" applyFont="1" applyFill="1" applyAlignment="1">
      <alignment horizontal="center" vertical="center"/>
    </xf>
    <xf numFmtId="0" fontId="20" fillId="10" borderId="0" xfId="0" applyFont="1" applyFill="1" applyAlignment="1">
      <alignment horizontal="center" vertical="center"/>
    </xf>
    <xf numFmtId="0" fontId="21" fillId="11" borderId="0" xfId="0" applyFont="1" applyFill="1" applyAlignment="1">
      <alignment horizontal="center" vertical="center"/>
    </xf>
    <xf numFmtId="0" fontId="22" fillId="11" borderId="0" xfId="0" applyFont="1" applyFill="1" applyAlignment="1">
      <alignment horizontal="center" vertical="center"/>
    </xf>
    <xf numFmtId="0" fontId="23" fillId="5" borderId="0" xfId="0" applyFont="1" applyFill="1" applyAlignment="1">
      <alignment horizontal="left" vertical="center"/>
    </xf>
    <xf numFmtId="0" fontId="10" fillId="5" borderId="0" xfId="0" applyFont="1" applyFill="1" applyAlignment="1">
      <alignment horizontal="left" vertical="center" wrapText="1"/>
    </xf>
    <xf numFmtId="0" fontId="5" fillId="3" borderId="0" xfId="0" applyFont="1" applyFill="1" applyAlignment="1">
      <alignment horizontal="center" vertical="center"/>
    </xf>
    <xf numFmtId="0" fontId="10" fillId="5" borderId="0" xfId="0" applyFont="1" applyFill="1" applyAlignment="1">
      <alignment horizontal="center" vertical="center"/>
    </xf>
    <xf numFmtId="0" fontId="10" fillId="6" borderId="0" xfId="0" applyFont="1" applyFill="1" applyAlignment="1">
      <alignment horizontal="center" vertical="center"/>
    </xf>
    <xf numFmtId="0" fontId="15" fillId="5" borderId="0" xfId="0" applyFont="1" applyFill="1" applyAlignment="1">
      <alignment horizontal="center" vertical="center"/>
    </xf>
    <xf numFmtId="0" fontId="23" fillId="6" borderId="0" xfId="0" applyFont="1" applyFill="1" applyAlignment="1">
      <alignment horizontal="left" vertical="center"/>
    </xf>
    <xf numFmtId="0" fontId="10" fillId="6" borderId="0" xfId="0" applyFont="1" applyFill="1" applyAlignment="1">
      <alignment horizontal="left" vertical="center" wrapText="1"/>
    </xf>
    <xf numFmtId="0" fontId="15" fillId="6" borderId="0" xfId="0" applyFont="1" applyFill="1" applyAlignment="1">
      <alignment horizontal="center" vertical="center"/>
    </xf>
    <xf numFmtId="0" fontId="17" fillId="5" borderId="0" xfId="0" applyFont="1" applyFill="1" applyAlignment="1">
      <alignment horizontal="center" vertical="center"/>
    </xf>
    <xf numFmtId="0" fontId="23" fillId="4" borderId="0" xfId="0" applyFont="1" applyFill="1" applyAlignment="1">
      <alignment horizontal="left" vertical="center"/>
    </xf>
    <xf numFmtId="0" fontId="7" fillId="5" borderId="0" xfId="0" applyFont="1" applyFill="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9A7D0A"/>
      <rgbColor rgb="FF800080"/>
      <rgbColor rgb="FF008080"/>
      <rgbColor rgb="FFC0C0C0"/>
      <rgbColor rgb="FF888888"/>
      <rgbColor rgb="FF9999FF"/>
      <rgbColor rgb="FFC0392B"/>
      <rgbColor rgb="FFFDEBD0"/>
      <rgbColor rgb="FFEEF2FA"/>
      <rgbColor rgb="FF660066"/>
      <rgbColor rgb="FFFF8080"/>
      <rgbColor rgb="FF1A75CB"/>
      <rgbColor rgb="FFFADBD8"/>
      <rgbColor rgb="FF000080"/>
      <rgbColor rgb="FFFF00FF"/>
      <rgbColor rgb="FFFFFF00"/>
      <rgbColor rgb="FF00FFFF"/>
      <rgbColor rgb="FF800080"/>
      <rgbColor rgb="FF800000"/>
      <rgbColor rgb="FF008080"/>
      <rgbColor rgb="FF0000FF"/>
      <rgbColor rgb="FF00CCFF"/>
      <rgbColor rgb="FFF4F6FA"/>
      <rgbColor rgb="FFD5F5E3"/>
      <rgbColor rgb="FFFFFF99"/>
      <rgbColor rgb="FF99CCFF"/>
      <rgbColor rgb="FFFF99CC"/>
      <rgbColor rgb="FFCC99FF"/>
      <rgbColor rgb="FFF5B7B1"/>
      <rgbColor rgb="FF3366FF"/>
      <rgbColor rgb="FF33CCCC"/>
      <rgbColor rgb="FF99CC00"/>
      <rgbColor rgb="FFFFCC00"/>
      <rgbColor rgb="FFFF9900"/>
      <rgbColor rgb="FFFF6600"/>
      <rgbColor rgb="FF666699"/>
      <rgbColor rgb="FFB8955A"/>
      <rgbColor rgb="FF003366"/>
      <rgbColor rgb="FF1E8449"/>
      <rgbColor rgb="FF003300"/>
      <rgbColor rgb="FF333300"/>
      <rgbColor rgb="FF922B21"/>
      <rgbColor rgb="FF993366"/>
      <rgbColor rgb="FF2B2F8F"/>
      <rgbColor rgb="FF1A1D2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4"/>
  <sheetViews>
    <sheetView zoomScaleNormal="100" workbookViewId="0">
      <selection activeCell="G28" sqref="G28"/>
    </sheetView>
  </sheetViews>
  <sheetFormatPr baseColWidth="10" defaultColWidth="8.6640625" defaultRowHeight="15" customHeight="1" x14ac:dyDescent="0.2"/>
  <cols>
    <col min="1" max="1" width="44" customWidth="1"/>
    <col min="2" max="2" width="50" customWidth="1"/>
    <col min="3" max="3" width="14" customWidth="1"/>
    <col min="4" max="5" width="16" customWidth="1"/>
  </cols>
  <sheetData>
    <row r="1" spans="1:5" ht="43.5" customHeight="1" x14ac:dyDescent="0.2">
      <c r="A1" s="14" t="s">
        <v>0</v>
      </c>
      <c r="B1" s="14"/>
      <c r="C1" s="14"/>
      <c r="D1" s="14"/>
      <c r="E1" s="14"/>
    </row>
    <row r="2" spans="1:5" ht="21.75" customHeight="1" x14ac:dyDescent="0.2">
      <c r="A2" s="13" t="s">
        <v>1</v>
      </c>
      <c r="B2" s="13"/>
      <c r="C2" s="13"/>
      <c r="D2" s="13"/>
      <c r="E2" s="13"/>
    </row>
    <row r="3" spans="1:5" ht="6" customHeight="1" x14ac:dyDescent="0.2"/>
    <row r="4" spans="1:5" ht="19.5" customHeight="1" x14ac:dyDescent="0.2">
      <c r="A4" s="15" t="s">
        <v>2</v>
      </c>
      <c r="B4" s="12"/>
      <c r="C4" s="12"/>
      <c r="D4" s="12"/>
      <c r="E4" s="12"/>
    </row>
    <row r="5" spans="1:5" ht="19.5" customHeight="1" x14ac:dyDescent="0.2">
      <c r="A5" s="15" t="s">
        <v>3</v>
      </c>
      <c r="B5" s="12"/>
      <c r="C5" s="12"/>
      <c r="D5" s="12"/>
      <c r="E5" s="12"/>
    </row>
    <row r="6" spans="1:5" ht="19.5" customHeight="1" x14ac:dyDescent="0.2">
      <c r="A6" s="15" t="s">
        <v>4</v>
      </c>
      <c r="B6" s="11" t="s">
        <v>5</v>
      </c>
      <c r="C6" s="11"/>
      <c r="D6" s="11"/>
      <c r="E6" s="11"/>
    </row>
    <row r="7" spans="1:5" ht="19.5" customHeight="1" x14ac:dyDescent="0.2">
      <c r="A7" s="15" t="s">
        <v>6</v>
      </c>
      <c r="B7" s="12"/>
      <c r="C7" s="12"/>
      <c r="D7" s="12"/>
      <c r="E7" s="12"/>
    </row>
    <row r="8" spans="1:5" ht="6" customHeight="1" x14ac:dyDescent="0.2"/>
    <row r="9" spans="1:5" ht="21.75" customHeight="1" x14ac:dyDescent="0.2">
      <c r="A9" s="17" t="s">
        <v>7</v>
      </c>
      <c r="B9" s="17" t="s">
        <v>8</v>
      </c>
      <c r="C9" s="17" t="s">
        <v>9</v>
      </c>
      <c r="D9" s="17" t="s">
        <v>10</v>
      </c>
      <c r="E9" s="17" t="s">
        <v>11</v>
      </c>
    </row>
    <row r="10" spans="1:5" ht="21.75" customHeight="1" x14ac:dyDescent="0.2">
      <c r="A10" s="10" t="s">
        <v>12</v>
      </c>
      <c r="B10" s="10"/>
      <c r="C10" s="10"/>
      <c r="D10" s="10"/>
      <c r="E10" s="10"/>
    </row>
    <row r="11" spans="1:5" ht="19.5" customHeight="1" x14ac:dyDescent="0.2">
      <c r="A11" s="18" t="s">
        <v>13</v>
      </c>
      <c r="B11" s="16"/>
      <c r="C11" s="19">
        <f>IFERROR(VLOOKUP(B11,'Score Reference'!$A$3:$B$14,2,FALSE()),0)</f>
        <v>0</v>
      </c>
      <c r="D11" s="20">
        <v>0.2</v>
      </c>
      <c r="E11" s="20">
        <f t="shared" ref="E11:E16" si="0">IF(ISNUMBER(C11),C11*D11,0)</f>
        <v>0</v>
      </c>
    </row>
    <row r="12" spans="1:5" ht="19.5" customHeight="1" x14ac:dyDescent="0.2">
      <c r="A12" s="21" t="s">
        <v>14</v>
      </c>
      <c r="B12" s="16"/>
      <c r="C12" s="22">
        <f>IFERROR(VLOOKUP(B12,'Score Reference'!$A$19:$B$22,2,FALSE()),0)</f>
        <v>0</v>
      </c>
      <c r="D12" s="23">
        <v>0.2</v>
      </c>
      <c r="E12" s="23">
        <f t="shared" si="0"/>
        <v>0</v>
      </c>
    </row>
    <row r="13" spans="1:5" ht="19.5" customHeight="1" x14ac:dyDescent="0.2">
      <c r="A13" s="18" t="s">
        <v>15</v>
      </c>
      <c r="B13" s="16"/>
      <c r="C13" s="19">
        <f>IFERROR(VLOOKUP(B13,'Score Reference'!$A$27:$B$30,2,FALSE()),0)</f>
        <v>0</v>
      </c>
      <c r="D13" s="20">
        <v>0.25</v>
      </c>
      <c r="E13" s="20">
        <f t="shared" si="0"/>
        <v>0</v>
      </c>
    </row>
    <row r="14" spans="1:5" ht="19.5" customHeight="1" x14ac:dyDescent="0.2">
      <c r="A14" s="21" t="s">
        <v>16</v>
      </c>
      <c r="B14" s="16"/>
      <c r="C14" s="22">
        <f>IFERROR(VLOOKUP(B14,'Score Reference'!$A$35:$B$37,2,FALSE()),0)</f>
        <v>0</v>
      </c>
      <c r="D14" s="23">
        <v>0.15</v>
      </c>
      <c r="E14" s="23">
        <f t="shared" si="0"/>
        <v>0</v>
      </c>
    </row>
    <row r="15" spans="1:5" ht="19.5" customHeight="1" x14ac:dyDescent="0.2">
      <c r="A15" s="18" t="s">
        <v>17</v>
      </c>
      <c r="B15" s="16"/>
      <c r="C15" s="19" t="str">
        <f>IFERROR(VLOOKUP(B15,'Score Reference'!$A$141:$B$148,2,FALSE()),"")</f>
        <v/>
      </c>
      <c r="D15" s="20">
        <v>0.1</v>
      </c>
      <c r="E15" s="20">
        <f t="shared" si="0"/>
        <v>0</v>
      </c>
    </row>
    <row r="16" spans="1:5" ht="19.5" customHeight="1" x14ac:dyDescent="0.2">
      <c r="A16" s="21" t="s">
        <v>18</v>
      </c>
      <c r="B16" s="16"/>
      <c r="C16" s="22" t="str">
        <f>IFERROR(VLOOKUP(B16,'Score Reference'!$A$152:$B$160,2,FALSE()),"")</f>
        <v/>
      </c>
      <c r="D16" s="23">
        <v>0.1</v>
      </c>
      <c r="E16" s="23">
        <f t="shared" si="0"/>
        <v>0</v>
      </c>
    </row>
    <row r="17" spans="1:5" ht="21.75" customHeight="1" x14ac:dyDescent="0.2">
      <c r="A17" s="24" t="s">
        <v>19</v>
      </c>
      <c r="B17" s="9" t="s">
        <v>20</v>
      </c>
      <c r="C17" s="9"/>
      <c r="D17" s="25">
        <v>0.3</v>
      </c>
      <c r="E17" s="25">
        <f>IFERROR(SUMPRODUCT(C11:C16,D11:D16),0)</f>
        <v>0</v>
      </c>
    </row>
    <row r="18" spans="1:5" ht="6" customHeight="1" x14ac:dyDescent="0.2"/>
    <row r="19" spans="1:5" ht="21.75" customHeight="1" x14ac:dyDescent="0.2">
      <c r="A19" s="10" t="s">
        <v>21</v>
      </c>
      <c r="B19" s="10"/>
      <c r="C19" s="10"/>
      <c r="D19" s="10"/>
      <c r="E19" s="10"/>
    </row>
    <row r="20" spans="1:5" ht="19.5" customHeight="1" x14ac:dyDescent="0.2">
      <c r="A20" s="18" t="s">
        <v>22</v>
      </c>
      <c r="B20" s="16"/>
      <c r="C20" s="19">
        <f>IFERROR(VLOOKUP(B20,'Score Reference'!$A$43:$B$46,2,FALSE()),0)</f>
        <v>0</v>
      </c>
      <c r="D20" s="20">
        <v>0.25</v>
      </c>
      <c r="E20" s="20">
        <f>IF(ISNUMBER(C20),C20*D20,0)</f>
        <v>0</v>
      </c>
    </row>
    <row r="21" spans="1:5" ht="19.5" customHeight="1" x14ac:dyDescent="0.2">
      <c r="A21" s="21" t="s">
        <v>23</v>
      </c>
      <c r="B21" s="16"/>
      <c r="C21" s="22">
        <f>IFERROR(VLOOKUP(B21,'Score Reference'!$A$205:$B$208,2,FALSE()),0)</f>
        <v>0</v>
      </c>
      <c r="D21" s="23">
        <v>0.2</v>
      </c>
      <c r="E21" s="23">
        <f>IF(ISNUMBER(C21),C21*D21,0)</f>
        <v>0</v>
      </c>
    </row>
    <row r="22" spans="1:5" ht="19.5" customHeight="1" x14ac:dyDescent="0.2">
      <c r="A22" s="18" t="s">
        <v>24</v>
      </c>
      <c r="B22" s="16"/>
      <c r="C22" s="19">
        <f>IFERROR(VLOOKUP(B22,'Score Reference'!$A$213:$B$216,2,FALSE()),0)</f>
        <v>0</v>
      </c>
      <c r="D22" s="20">
        <v>0.2</v>
      </c>
      <c r="E22" s="20">
        <f>IF(ISNUMBER(C22),C22*D22,0)</f>
        <v>0</v>
      </c>
    </row>
    <row r="23" spans="1:5" ht="19.5" customHeight="1" x14ac:dyDescent="0.2">
      <c r="A23" s="21" t="s">
        <v>25</v>
      </c>
      <c r="B23" s="16"/>
      <c r="C23" s="22">
        <f>IFERROR(VLOOKUP(B23,'Score Reference'!$A$51:$B$54,2,FALSE()),0)</f>
        <v>0</v>
      </c>
      <c r="D23" s="23">
        <v>0.2</v>
      </c>
      <c r="E23" s="23">
        <f>IF(ISNUMBER(C23),C23*D23,0)</f>
        <v>0</v>
      </c>
    </row>
    <row r="24" spans="1:5" ht="19.5" customHeight="1" x14ac:dyDescent="0.2">
      <c r="A24" s="18" t="s">
        <v>26</v>
      </c>
      <c r="B24" s="16"/>
      <c r="C24" s="19">
        <f>IFERROR(VLOOKUP(B24,'Score Reference'!$A$59:$B$62,2,FALSE()),0)</f>
        <v>0</v>
      </c>
      <c r="D24" s="20">
        <v>0.15</v>
      </c>
      <c r="E24" s="20">
        <f>IF(ISNUMBER(C24),C24*D24,0)</f>
        <v>0</v>
      </c>
    </row>
    <row r="25" spans="1:5" ht="21.75" customHeight="1" x14ac:dyDescent="0.2">
      <c r="A25" s="24" t="s">
        <v>27</v>
      </c>
      <c r="B25" s="9" t="s">
        <v>20</v>
      </c>
      <c r="C25" s="9"/>
      <c r="D25" s="25">
        <v>0.25</v>
      </c>
      <c r="E25" s="25">
        <f>IFERROR(SUMPRODUCT(C20:C24,D20:D24),0)</f>
        <v>0</v>
      </c>
    </row>
    <row r="26" spans="1:5" ht="6" customHeight="1" x14ac:dyDescent="0.2"/>
    <row r="27" spans="1:5" ht="21.75" customHeight="1" x14ac:dyDescent="0.2">
      <c r="A27" s="10" t="s">
        <v>28</v>
      </c>
      <c r="B27" s="10"/>
      <c r="C27" s="10"/>
      <c r="D27" s="10"/>
      <c r="E27" s="10"/>
    </row>
    <row r="28" spans="1:5" ht="19.5" customHeight="1" x14ac:dyDescent="0.2">
      <c r="A28" s="18" t="s">
        <v>29</v>
      </c>
      <c r="B28" s="16" t="s">
        <v>96</v>
      </c>
      <c r="C28" s="19">
        <f>IFERROR(VLOOKUP(B28,'Score Reference'!$A$68:$B$70,2,FALSE()),0)</f>
        <v>1</v>
      </c>
      <c r="D28" s="20">
        <v>0.4</v>
      </c>
      <c r="E28" s="20">
        <f>IF(ISNUMBER(C28),C28*D28,0)</f>
        <v>0.4</v>
      </c>
    </row>
    <row r="29" spans="1:5" ht="19.5" customHeight="1" x14ac:dyDescent="0.2">
      <c r="A29" s="21" t="s">
        <v>30</v>
      </c>
      <c r="B29" s="16"/>
      <c r="C29" s="22">
        <f>IFERROR(VLOOKUP(B29,'Score Reference'!$A$76:$B$79,2,FALSE()),0)</f>
        <v>0</v>
      </c>
      <c r="D29" s="23">
        <v>0.35</v>
      </c>
      <c r="E29" s="23">
        <f>IF(ISNUMBER(C29),C29*D29,0)</f>
        <v>0</v>
      </c>
    </row>
    <row r="30" spans="1:5" ht="19.5" customHeight="1" x14ac:dyDescent="0.2">
      <c r="A30" s="18" t="s">
        <v>31</v>
      </c>
      <c r="B30" s="16"/>
      <c r="C30" s="19">
        <f>IFERROR(VLOOKUP(B30,'Score Reference'!$A$84:$B$87,2,FALSE()),0)</f>
        <v>0</v>
      </c>
      <c r="D30" s="20">
        <v>0.25</v>
      </c>
      <c r="E30" s="20">
        <f>IF(ISNUMBER(C30),C30*D30,0)</f>
        <v>0</v>
      </c>
    </row>
    <row r="31" spans="1:5" ht="21.75" customHeight="1" x14ac:dyDescent="0.2">
      <c r="A31" s="24" t="s">
        <v>32</v>
      </c>
      <c r="B31" s="9" t="s">
        <v>20</v>
      </c>
      <c r="C31" s="9"/>
      <c r="D31" s="25">
        <v>0.2</v>
      </c>
      <c r="E31" s="25">
        <f>IFERROR(SUMPRODUCT(C28:C30,D28:D30),0)</f>
        <v>0.4</v>
      </c>
    </row>
    <row r="32" spans="1:5" ht="6" customHeight="1" x14ac:dyDescent="0.2"/>
    <row r="33" spans="1:5" ht="21.75" customHeight="1" x14ac:dyDescent="0.2">
      <c r="A33" s="10" t="s">
        <v>33</v>
      </c>
      <c r="B33" s="10"/>
      <c r="C33" s="10"/>
      <c r="D33" s="10"/>
      <c r="E33" s="10"/>
    </row>
    <row r="34" spans="1:5" ht="19.5" customHeight="1" x14ac:dyDescent="0.2">
      <c r="A34" s="18" t="s">
        <v>34</v>
      </c>
      <c r="B34" s="16"/>
      <c r="C34" s="19">
        <f>IFERROR(VLOOKUP(B34,'Score Reference'!$A$93:$B$120,2,FALSE()),0)</f>
        <v>0</v>
      </c>
      <c r="D34" s="20">
        <v>1</v>
      </c>
      <c r="E34" s="20">
        <f>IF(ISNUMBER(C34),C34*D34,0)</f>
        <v>0</v>
      </c>
    </row>
    <row r="35" spans="1:5" ht="21.75" customHeight="1" x14ac:dyDescent="0.2">
      <c r="A35" s="24" t="s">
        <v>35</v>
      </c>
      <c r="B35" s="9" t="s">
        <v>20</v>
      </c>
      <c r="C35" s="9"/>
      <c r="D35" s="25">
        <v>0.15</v>
      </c>
      <c r="E35" s="25">
        <f>IFERROR(SUMPRODUCT(C34,D34),0)</f>
        <v>0</v>
      </c>
    </row>
    <row r="36" spans="1:5" ht="6" customHeight="1" x14ac:dyDescent="0.2"/>
    <row r="37" spans="1:5" ht="21.75" customHeight="1" x14ac:dyDescent="0.2">
      <c r="A37" s="10" t="s">
        <v>36</v>
      </c>
      <c r="B37" s="10"/>
      <c r="C37" s="10"/>
      <c r="D37" s="10"/>
      <c r="E37" s="10"/>
    </row>
    <row r="38" spans="1:5" ht="19.5" customHeight="1" x14ac:dyDescent="0.2">
      <c r="A38" s="18" t="s">
        <v>37</v>
      </c>
      <c r="B38" s="16"/>
      <c r="C38" s="19">
        <f>IFERROR(VLOOKUP(B38,'Score Reference'!$A$125:$B$128,2,FALSE()),0)</f>
        <v>0</v>
      </c>
      <c r="D38" s="20">
        <v>0.5</v>
      </c>
      <c r="E38" s="20">
        <f>IF(ISNUMBER(C38),C38*D38,0)</f>
        <v>0</v>
      </c>
    </row>
    <row r="39" spans="1:5" ht="19.5" customHeight="1" x14ac:dyDescent="0.2">
      <c r="A39" s="21" t="s">
        <v>38</v>
      </c>
      <c r="B39" s="16"/>
      <c r="C39" s="22">
        <f>IFERROR(VLOOKUP(B39,'Score Reference'!$A$133:$B$136,2,FALSE()),0)</f>
        <v>0</v>
      </c>
      <c r="D39" s="23">
        <v>0.5</v>
      </c>
      <c r="E39" s="23">
        <f>IF(ISNUMBER(C39),C39*D39,0)</f>
        <v>0</v>
      </c>
    </row>
    <row r="40" spans="1:5" ht="21.75" customHeight="1" x14ac:dyDescent="0.2">
      <c r="A40" s="24" t="s">
        <v>39</v>
      </c>
      <c r="B40" s="9" t="s">
        <v>20</v>
      </c>
      <c r="C40" s="9"/>
      <c r="D40" s="25">
        <v>0.1</v>
      </c>
      <c r="E40" s="25">
        <f>IFERROR(SUMPRODUCT(C38:C39,D38:D39),0)</f>
        <v>0</v>
      </c>
    </row>
    <row r="41" spans="1:5" ht="6" customHeight="1" x14ac:dyDescent="0.2"/>
    <row r="42" spans="1:5" ht="6" customHeight="1" x14ac:dyDescent="0.2"/>
    <row r="43" spans="1:5" ht="6" customHeight="1" x14ac:dyDescent="0.2"/>
    <row r="44" spans="1:5" ht="6" customHeight="1" x14ac:dyDescent="0.2"/>
    <row r="45" spans="1:5" ht="6" customHeight="1" x14ac:dyDescent="0.2"/>
    <row r="46" spans="1:5" ht="6" customHeight="1" x14ac:dyDescent="0.2"/>
    <row r="47" spans="1:5" ht="6" customHeight="1" x14ac:dyDescent="0.2"/>
    <row r="48" spans="1:5" ht="30" customHeight="1" x14ac:dyDescent="0.2">
      <c r="A48" s="8" t="s">
        <v>40</v>
      </c>
      <c r="B48" s="8"/>
      <c r="C48" s="8"/>
      <c r="D48" s="8"/>
      <c r="E48" s="8"/>
    </row>
    <row r="49" spans="1:5" ht="27.75" customHeight="1" x14ac:dyDescent="0.2">
      <c r="A49" s="15" t="s">
        <v>41</v>
      </c>
      <c r="B49" s="7" t="s">
        <v>42</v>
      </c>
      <c r="C49" s="7"/>
      <c r="D49" s="7"/>
      <c r="E49" s="26">
        <f>IFERROR(ROUND((E17+E25+E31+E35+E40)/4*100,1),0)</f>
        <v>10</v>
      </c>
    </row>
    <row r="50" spans="1:5" ht="27.75" customHeight="1" x14ac:dyDescent="0.2">
      <c r="A50" s="15" t="s">
        <v>43</v>
      </c>
      <c r="B50" s="7" t="s">
        <v>44</v>
      </c>
      <c r="C50" s="7"/>
      <c r="D50" s="7"/>
      <c r="E50" s="27" t="str">
        <f>IF(E49&gt;=70,"HIGH RISK",IF(E49&gt;=40,"MEDIUM RISK",IF(E49&gt;0,"LOW RISK","Awaiting Input")))</f>
        <v>LOW RISK</v>
      </c>
    </row>
    <row r="51" spans="1:5" ht="7.5" customHeight="1" x14ac:dyDescent="0.2">
      <c r="A51" s="15" t="s">
        <v>45</v>
      </c>
      <c r="B51" s="6" t="str">
        <f>IF(E49&gt;=70,"Enhanced Due Diligence (EDD) — Senior Compliance Review Required",IF(E49&gt;=40,"Customer Due Diligence (CDD) — Standard Onboarding",IF(E49&gt;0,"Simplified Due Diligence (SDD) — Fast-Track Eligible","")))</f>
        <v>Simplified Due Diligence (SDD) — Fast-Track Eligible</v>
      </c>
      <c r="C51" s="6"/>
      <c r="D51" s="6"/>
      <c r="E51" s="6"/>
    </row>
    <row r="52" spans="1:5" ht="13.5" customHeight="1" x14ac:dyDescent="0.2">
      <c r="A52" s="15" t="s">
        <v>46</v>
      </c>
      <c r="B52" s="6" t="str">
        <f>IF(OR(COUNTIF(C11:C16,4)&gt;0,COUNTIF(C20:C24,4)&gt;0,COUNTIF(C28:C30,4)&gt;0,COUNTIF(C34,4)&gt;0,E49&gt;=85),"⚠️ MANDATORY COMPLIANCE OFFICER APPROVAL REQUIRED","")</f>
        <v/>
      </c>
      <c r="C52" s="6"/>
      <c r="D52" s="6"/>
      <c r="E52" s="6"/>
    </row>
    <row r="53" spans="1:5" ht="7.5" customHeight="1" x14ac:dyDescent="0.2"/>
    <row r="54" spans="1:5" ht="15" customHeight="1" x14ac:dyDescent="0.2">
      <c r="A54" s="5" t="s">
        <v>47</v>
      </c>
      <c r="B54" s="5"/>
      <c r="C54" s="5"/>
      <c r="D54" s="5"/>
      <c r="E54" s="5"/>
    </row>
  </sheetData>
  <mergeCells count="22">
    <mergeCell ref="B52:E52"/>
    <mergeCell ref="A54:E54"/>
    <mergeCell ref="B40:C40"/>
    <mergeCell ref="A48:E48"/>
    <mergeCell ref="B49:D49"/>
    <mergeCell ref="B50:D50"/>
    <mergeCell ref="B51:E51"/>
    <mergeCell ref="A27:E27"/>
    <mergeCell ref="B31:C31"/>
    <mergeCell ref="A33:E33"/>
    <mergeCell ref="B35:C35"/>
    <mergeCell ref="A37:E37"/>
    <mergeCell ref="B7:E7"/>
    <mergeCell ref="A10:E10"/>
    <mergeCell ref="B17:C17"/>
    <mergeCell ref="A19:E19"/>
    <mergeCell ref="B25:C25"/>
    <mergeCell ref="A1:E1"/>
    <mergeCell ref="A2:E2"/>
    <mergeCell ref="B4:E4"/>
    <mergeCell ref="B5:E5"/>
    <mergeCell ref="B6:E6"/>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7">
        <x14:dataValidation type="list" allowBlank="1" prompt="Select entity type" xr:uid="{00000000-0002-0000-0000-000000000000}">
          <x14:formula1>
            <xm:f>'Score Reference'!$A$3:$A$14</xm:f>
          </x14:formula1>
          <x14:formula2>
            <xm:f>0</xm:f>
          </x14:formula2>
          <xm:sqref>B11</xm:sqref>
        </x14:dataValidation>
        <x14:dataValidation type="list" allowBlank="1" xr:uid="{00000000-0002-0000-0000-000001000000}">
          <x14:formula1>
            <xm:f>'Score Reference'!$A$19:$A$22</xm:f>
          </x14:formula1>
          <x14:formula2>
            <xm:f>0</xm:f>
          </x14:formula2>
          <xm:sqref>B12</xm:sqref>
        </x14:dataValidation>
        <x14:dataValidation type="list" allowBlank="1" xr:uid="{00000000-0002-0000-0000-000002000000}">
          <x14:formula1>
            <xm:f>'Score Reference'!$A$27:$A$30</xm:f>
          </x14:formula1>
          <x14:formula2>
            <xm:f>0</xm:f>
          </x14:formula2>
          <xm:sqref>B13</xm:sqref>
        </x14:dataValidation>
        <x14:dataValidation type="list" allowBlank="1" xr:uid="{00000000-0002-0000-0000-000003000000}">
          <x14:formula1>
            <xm:f>'Score Reference'!$A$35:$A$37</xm:f>
          </x14:formula1>
          <x14:formula2>
            <xm:f>0</xm:f>
          </x14:formula2>
          <xm:sqref>B14</xm:sqref>
        </x14:dataValidation>
        <x14:dataValidation type="list" allowBlank="1" xr:uid="{00000000-0002-0000-0000-000004000000}">
          <x14:formula1>
            <xm:f>'Score Reference'!$A$141:$A$148</xm:f>
          </x14:formula1>
          <x14:formula2>
            <xm:f>0</xm:f>
          </x14:formula2>
          <xm:sqref>B15</xm:sqref>
        </x14:dataValidation>
        <x14:dataValidation type="list" allowBlank="1" xr:uid="{00000000-0002-0000-0000-000005000000}">
          <x14:formula1>
            <xm:f>'Score Reference'!$A$152:$A$160</xm:f>
          </x14:formula1>
          <x14:formula2>
            <xm:f>0</xm:f>
          </x14:formula2>
          <xm:sqref>B16</xm:sqref>
        </x14:dataValidation>
        <x14:dataValidation type="list" allowBlank="1" xr:uid="{00000000-0002-0000-0000-000006000000}">
          <x14:formula1>
            <xm:f>'Score Reference'!$A$43:$A$46</xm:f>
          </x14:formula1>
          <x14:formula2>
            <xm:f>0</xm:f>
          </x14:formula2>
          <xm:sqref>B20</xm:sqref>
        </x14:dataValidation>
        <x14:dataValidation type="list" allowBlank="1" xr:uid="{00000000-0002-0000-0000-000007000000}">
          <x14:formula1>
            <xm:f>'Score Reference'!$A$205:$A$208</xm:f>
          </x14:formula1>
          <x14:formula2>
            <xm:f>0</xm:f>
          </x14:formula2>
          <xm:sqref>B21</xm:sqref>
        </x14:dataValidation>
        <x14:dataValidation type="list" allowBlank="1" xr:uid="{00000000-0002-0000-0000-000008000000}">
          <x14:formula1>
            <xm:f>'Score Reference'!$A$213:$A$216</xm:f>
          </x14:formula1>
          <x14:formula2>
            <xm:f>0</xm:f>
          </x14:formula2>
          <xm:sqref>B22</xm:sqref>
        </x14:dataValidation>
        <x14:dataValidation type="list" allowBlank="1" xr:uid="{00000000-0002-0000-0000-000009000000}">
          <x14:formula1>
            <xm:f>'Score Reference'!$A$51:$A$54</xm:f>
          </x14:formula1>
          <x14:formula2>
            <xm:f>0</xm:f>
          </x14:formula2>
          <xm:sqref>B23</xm:sqref>
        </x14:dataValidation>
        <x14:dataValidation type="list" allowBlank="1" xr:uid="{00000000-0002-0000-0000-00000A000000}">
          <x14:formula1>
            <xm:f>'Score Reference'!$A$59:$A$62</xm:f>
          </x14:formula1>
          <x14:formula2>
            <xm:f>0</xm:f>
          </x14:formula2>
          <xm:sqref>B24</xm:sqref>
        </x14:dataValidation>
        <x14:dataValidation type="list" allowBlank="1" xr:uid="{00000000-0002-0000-0000-00000B000000}">
          <x14:formula1>
            <xm:f>'Score Reference'!$A$68:$A$70</xm:f>
          </x14:formula1>
          <x14:formula2>
            <xm:f>0</xm:f>
          </x14:formula2>
          <xm:sqref>B28</xm:sqref>
        </x14:dataValidation>
        <x14:dataValidation type="list" allowBlank="1" xr:uid="{00000000-0002-0000-0000-00000C000000}">
          <x14:formula1>
            <xm:f>'Score Reference'!$A$76:$A$79</xm:f>
          </x14:formula1>
          <x14:formula2>
            <xm:f>0</xm:f>
          </x14:formula2>
          <xm:sqref>B29</xm:sqref>
        </x14:dataValidation>
        <x14:dataValidation type="list" allowBlank="1" xr:uid="{00000000-0002-0000-0000-00000D000000}">
          <x14:formula1>
            <xm:f>'Score Reference'!$A$84:$A$87</xm:f>
          </x14:formula1>
          <x14:formula2>
            <xm:f>0</xm:f>
          </x14:formula2>
          <xm:sqref>B30</xm:sqref>
        </x14:dataValidation>
        <x14:dataValidation type="list" allowBlank="1" xr:uid="{00000000-0002-0000-0000-00000E000000}">
          <x14:formula1>
            <xm:f>'Score Reference'!$A$93:$A$120</xm:f>
          </x14:formula1>
          <x14:formula2>
            <xm:f>0</xm:f>
          </x14:formula2>
          <xm:sqref>B34</xm:sqref>
        </x14:dataValidation>
        <x14:dataValidation type="list" allowBlank="1" xr:uid="{00000000-0002-0000-0000-00000F000000}">
          <x14:formula1>
            <xm:f>'Score Reference'!$A$125:$A$128</xm:f>
          </x14:formula1>
          <x14:formula2>
            <xm:f>0</xm:f>
          </x14:formula2>
          <xm:sqref>B38</xm:sqref>
        </x14:dataValidation>
        <x14:dataValidation type="list" allowBlank="1" xr:uid="{00000000-0002-0000-0000-000010000000}">
          <x14:formula1>
            <xm:f>'Score Reference'!$A$133:$A$136</xm:f>
          </x14:formula1>
          <x14:formula2>
            <xm:f>0</xm:f>
          </x14:formula2>
          <xm:sqref>B39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16"/>
  <sheetViews>
    <sheetView topLeftCell="A225" zoomScaleNormal="100" workbookViewId="0">
      <selection activeCell="B198" sqref="B198:D198"/>
    </sheetView>
  </sheetViews>
  <sheetFormatPr baseColWidth="10" defaultColWidth="8.6640625" defaultRowHeight="15" customHeight="1" x14ac:dyDescent="0.2"/>
  <cols>
    <col min="1" max="1" width="52" customWidth="1"/>
    <col min="2" max="2" width="8" customWidth="1"/>
    <col min="3" max="3" width="16" customWidth="1"/>
    <col min="4" max="4" width="60" customWidth="1"/>
  </cols>
  <sheetData>
    <row r="1" spans="1:3" ht="16" x14ac:dyDescent="0.2">
      <c r="A1" s="4" t="s">
        <v>48</v>
      </c>
      <c r="B1" s="4"/>
      <c r="C1" s="4"/>
    </row>
    <row r="2" spans="1:3" x14ac:dyDescent="0.2">
      <c r="A2" s="10" t="s">
        <v>49</v>
      </c>
      <c r="B2" s="10"/>
      <c r="C2" s="10"/>
    </row>
    <row r="3" spans="1:3" x14ac:dyDescent="0.2">
      <c r="A3" s="28" t="s">
        <v>50</v>
      </c>
      <c r="B3" s="29">
        <v>1</v>
      </c>
      <c r="C3" s="30" t="s">
        <v>51</v>
      </c>
    </row>
    <row r="4" spans="1:3" x14ac:dyDescent="0.2">
      <c r="A4" s="31" t="s">
        <v>52</v>
      </c>
      <c r="B4" s="29">
        <v>1</v>
      </c>
      <c r="C4" s="30" t="s">
        <v>51</v>
      </c>
    </row>
    <row r="5" spans="1:3" x14ac:dyDescent="0.2">
      <c r="A5" s="28" t="s">
        <v>53</v>
      </c>
      <c r="B5" s="29">
        <v>1</v>
      </c>
      <c r="C5" s="30" t="s">
        <v>51</v>
      </c>
    </row>
    <row r="6" spans="1:3" x14ac:dyDescent="0.2">
      <c r="A6" s="31" t="s">
        <v>54</v>
      </c>
      <c r="B6" s="32">
        <v>2</v>
      </c>
      <c r="C6" s="33" t="s">
        <v>55</v>
      </c>
    </row>
    <row r="7" spans="1:3" x14ac:dyDescent="0.2">
      <c r="A7" s="28" t="s">
        <v>56</v>
      </c>
      <c r="B7" s="32">
        <v>2</v>
      </c>
      <c r="C7" s="33" t="s">
        <v>55</v>
      </c>
    </row>
    <row r="8" spans="1:3" x14ac:dyDescent="0.2">
      <c r="A8" s="31" t="s">
        <v>57</v>
      </c>
      <c r="B8" s="34">
        <v>3</v>
      </c>
      <c r="C8" s="35" t="s">
        <v>58</v>
      </c>
    </row>
    <row r="9" spans="1:3" x14ac:dyDescent="0.2">
      <c r="A9" s="28" t="s">
        <v>59</v>
      </c>
      <c r="B9" s="34">
        <v>3</v>
      </c>
      <c r="C9" s="35" t="s">
        <v>58</v>
      </c>
    </row>
    <row r="10" spans="1:3" x14ac:dyDescent="0.2">
      <c r="A10" s="31" t="s">
        <v>60</v>
      </c>
      <c r="B10" s="34">
        <v>3</v>
      </c>
      <c r="C10" s="35" t="s">
        <v>58</v>
      </c>
    </row>
    <row r="11" spans="1:3" x14ac:dyDescent="0.2">
      <c r="A11" s="28" t="s">
        <v>61</v>
      </c>
      <c r="B11" s="32">
        <v>2</v>
      </c>
      <c r="C11" s="33" t="s">
        <v>55</v>
      </c>
    </row>
    <row r="12" spans="1:3" x14ac:dyDescent="0.2">
      <c r="A12" s="31" t="s">
        <v>62</v>
      </c>
      <c r="B12" s="36">
        <v>4</v>
      </c>
      <c r="C12" s="37" t="s">
        <v>63</v>
      </c>
    </row>
    <row r="13" spans="1:3" x14ac:dyDescent="0.2">
      <c r="A13" s="28" t="s">
        <v>64</v>
      </c>
      <c r="B13" s="34">
        <v>3</v>
      </c>
      <c r="C13" s="35" t="s">
        <v>58</v>
      </c>
    </row>
    <row r="14" spans="1:3" x14ac:dyDescent="0.2">
      <c r="A14" s="31" t="s">
        <v>65</v>
      </c>
      <c r="B14" s="36">
        <v>4</v>
      </c>
      <c r="C14" s="37" t="s">
        <v>63</v>
      </c>
    </row>
    <row r="18" spans="1:3" x14ac:dyDescent="0.2">
      <c r="A18" s="10" t="s">
        <v>66</v>
      </c>
      <c r="B18" s="10"/>
      <c r="C18" s="10"/>
    </row>
    <row r="19" spans="1:3" x14ac:dyDescent="0.2">
      <c r="A19" s="28" t="s">
        <v>67</v>
      </c>
      <c r="B19" s="29">
        <v>1</v>
      </c>
      <c r="C19" s="30" t="s">
        <v>51</v>
      </c>
    </row>
    <row r="20" spans="1:3" x14ac:dyDescent="0.2">
      <c r="A20" s="31" t="s">
        <v>68</v>
      </c>
      <c r="B20" s="32">
        <v>2</v>
      </c>
      <c r="C20" s="33" t="s">
        <v>55</v>
      </c>
    </row>
    <row r="21" spans="1:3" x14ac:dyDescent="0.2">
      <c r="A21" s="28" t="s">
        <v>69</v>
      </c>
      <c r="B21" s="34">
        <v>3</v>
      </c>
      <c r="C21" s="35" t="s">
        <v>58</v>
      </c>
    </row>
    <row r="22" spans="1:3" x14ac:dyDescent="0.2">
      <c r="A22" s="31" t="s">
        <v>70</v>
      </c>
      <c r="B22" s="36">
        <v>4</v>
      </c>
      <c r="C22" s="37" t="s">
        <v>63</v>
      </c>
    </row>
    <row r="26" spans="1:3" x14ac:dyDescent="0.2">
      <c r="A26" s="10" t="s">
        <v>71</v>
      </c>
      <c r="B26" s="10"/>
      <c r="C26" s="10"/>
    </row>
    <row r="27" spans="1:3" x14ac:dyDescent="0.2">
      <c r="A27" s="28" t="s">
        <v>72</v>
      </c>
      <c r="B27" s="29">
        <v>1</v>
      </c>
      <c r="C27" s="30" t="s">
        <v>51</v>
      </c>
    </row>
    <row r="28" spans="1:3" x14ac:dyDescent="0.2">
      <c r="A28" s="31" t="s">
        <v>73</v>
      </c>
      <c r="B28" s="34">
        <v>3</v>
      </c>
      <c r="C28" s="35" t="s">
        <v>58</v>
      </c>
    </row>
    <row r="29" spans="1:3" x14ac:dyDescent="0.2">
      <c r="A29" s="28" t="s">
        <v>74</v>
      </c>
      <c r="B29" s="34">
        <v>3</v>
      </c>
      <c r="C29" s="35" t="s">
        <v>58</v>
      </c>
    </row>
    <row r="30" spans="1:3" x14ac:dyDescent="0.2">
      <c r="A30" s="31" t="s">
        <v>75</v>
      </c>
      <c r="B30" s="36">
        <v>4</v>
      </c>
      <c r="C30" s="37" t="s">
        <v>63</v>
      </c>
    </row>
    <row r="34" spans="1:3" x14ac:dyDescent="0.2">
      <c r="A34" s="10" t="s">
        <v>76</v>
      </c>
      <c r="B34" s="10"/>
      <c r="C34" s="10"/>
    </row>
    <row r="35" spans="1:3" x14ac:dyDescent="0.2">
      <c r="A35" s="28" t="s">
        <v>77</v>
      </c>
      <c r="B35" s="29">
        <v>1</v>
      </c>
      <c r="C35" s="30" t="s">
        <v>51</v>
      </c>
    </row>
    <row r="36" spans="1:3" x14ac:dyDescent="0.2">
      <c r="A36" s="31" t="s">
        <v>78</v>
      </c>
      <c r="B36" s="32">
        <v>2</v>
      </c>
      <c r="C36" s="33" t="s">
        <v>55</v>
      </c>
    </row>
    <row r="37" spans="1:3" x14ac:dyDescent="0.2">
      <c r="A37" s="28" t="s">
        <v>79</v>
      </c>
      <c r="B37" s="36">
        <v>4</v>
      </c>
      <c r="C37" s="37" t="s">
        <v>63</v>
      </c>
    </row>
    <row r="42" spans="1:3" x14ac:dyDescent="0.2">
      <c r="A42" s="10" t="s">
        <v>80</v>
      </c>
      <c r="B42" s="10"/>
      <c r="C42" s="10"/>
    </row>
    <row r="43" spans="1:3" x14ac:dyDescent="0.2">
      <c r="A43" s="28" t="s">
        <v>81</v>
      </c>
      <c r="B43" s="29">
        <v>1</v>
      </c>
      <c r="C43" s="30" t="s">
        <v>51</v>
      </c>
    </row>
    <row r="44" spans="1:3" x14ac:dyDescent="0.2">
      <c r="A44" s="31" t="s">
        <v>82</v>
      </c>
      <c r="B44" s="32">
        <v>2</v>
      </c>
      <c r="C44" s="33" t="s">
        <v>55</v>
      </c>
    </row>
    <row r="45" spans="1:3" x14ac:dyDescent="0.2">
      <c r="A45" s="28" t="s">
        <v>83</v>
      </c>
      <c r="B45" s="34">
        <v>3</v>
      </c>
      <c r="C45" s="35" t="s">
        <v>58</v>
      </c>
    </row>
    <row r="46" spans="1:3" x14ac:dyDescent="0.2">
      <c r="A46" s="31" t="s">
        <v>84</v>
      </c>
      <c r="B46" s="36">
        <v>4</v>
      </c>
      <c r="C46" s="37" t="s">
        <v>63</v>
      </c>
    </row>
    <row r="50" spans="1:3" x14ac:dyDescent="0.2">
      <c r="A50" s="10" t="s">
        <v>85</v>
      </c>
      <c r="B50" s="10"/>
      <c r="C50" s="10"/>
    </row>
    <row r="51" spans="1:3" x14ac:dyDescent="0.2">
      <c r="A51" s="28" t="s">
        <v>86</v>
      </c>
      <c r="B51" s="29">
        <v>1</v>
      </c>
      <c r="C51" s="30" t="s">
        <v>51</v>
      </c>
    </row>
    <row r="52" spans="1:3" x14ac:dyDescent="0.2">
      <c r="A52" s="31" t="s">
        <v>87</v>
      </c>
      <c r="B52" s="32">
        <v>2</v>
      </c>
      <c r="C52" s="33" t="s">
        <v>55</v>
      </c>
    </row>
    <row r="53" spans="1:3" x14ac:dyDescent="0.2">
      <c r="A53" s="28" t="s">
        <v>88</v>
      </c>
      <c r="B53" s="34">
        <v>3</v>
      </c>
      <c r="C53" s="35" t="s">
        <v>58</v>
      </c>
    </row>
    <row r="54" spans="1:3" x14ac:dyDescent="0.2">
      <c r="A54" s="31" t="s">
        <v>89</v>
      </c>
      <c r="B54" s="36">
        <v>4</v>
      </c>
      <c r="C54" s="37" t="s">
        <v>63</v>
      </c>
    </row>
    <row r="58" spans="1:3" x14ac:dyDescent="0.2">
      <c r="A58" s="10" t="s">
        <v>90</v>
      </c>
      <c r="B58" s="10"/>
      <c r="C58" s="10"/>
    </row>
    <row r="59" spans="1:3" x14ac:dyDescent="0.2">
      <c r="A59" s="28" t="s">
        <v>91</v>
      </c>
      <c r="B59" s="29">
        <v>1</v>
      </c>
      <c r="C59" s="30" t="s">
        <v>51</v>
      </c>
    </row>
    <row r="60" spans="1:3" x14ac:dyDescent="0.2">
      <c r="A60" s="31" t="s">
        <v>92</v>
      </c>
      <c r="B60" s="32">
        <v>2</v>
      </c>
      <c r="C60" s="33" t="s">
        <v>55</v>
      </c>
    </row>
    <row r="61" spans="1:3" x14ac:dyDescent="0.2">
      <c r="A61" s="28" t="s">
        <v>93</v>
      </c>
      <c r="B61" s="34">
        <v>3</v>
      </c>
      <c r="C61" s="35" t="s">
        <v>58</v>
      </c>
    </row>
    <row r="62" spans="1:3" x14ac:dyDescent="0.2">
      <c r="A62" s="31" t="s">
        <v>94</v>
      </c>
      <c r="B62" s="36">
        <v>4</v>
      </c>
      <c r="C62" s="37" t="s">
        <v>63</v>
      </c>
    </row>
    <row r="67" spans="1:3" x14ac:dyDescent="0.2">
      <c r="A67" s="10" t="s">
        <v>95</v>
      </c>
      <c r="B67" s="10"/>
      <c r="C67" s="10"/>
    </row>
    <row r="68" spans="1:3" x14ac:dyDescent="0.2">
      <c r="A68" s="28" t="s">
        <v>96</v>
      </c>
      <c r="B68" s="29">
        <v>1</v>
      </c>
      <c r="C68" s="30" t="s">
        <v>51</v>
      </c>
    </row>
    <row r="69" spans="1:3" x14ac:dyDescent="0.2">
      <c r="A69" s="31" t="s">
        <v>97</v>
      </c>
      <c r="B69" s="32">
        <v>2</v>
      </c>
      <c r="C69" s="33" t="s">
        <v>55</v>
      </c>
    </row>
    <row r="70" spans="1:3" x14ac:dyDescent="0.2">
      <c r="A70" s="28" t="s">
        <v>98</v>
      </c>
      <c r="B70" s="34">
        <v>3</v>
      </c>
      <c r="C70" s="35" t="s">
        <v>58</v>
      </c>
    </row>
    <row r="75" spans="1:3" x14ac:dyDescent="0.2">
      <c r="A75" s="10" t="s">
        <v>99</v>
      </c>
      <c r="B75" s="10"/>
      <c r="C75" s="10"/>
    </row>
    <row r="76" spans="1:3" x14ac:dyDescent="0.2">
      <c r="A76" s="28" t="s">
        <v>100</v>
      </c>
      <c r="B76" s="29">
        <v>1</v>
      </c>
      <c r="C76" s="30" t="s">
        <v>51</v>
      </c>
    </row>
    <row r="77" spans="1:3" x14ac:dyDescent="0.2">
      <c r="A77" s="31" t="s">
        <v>101</v>
      </c>
      <c r="B77" s="32">
        <v>2</v>
      </c>
      <c r="C77" s="33" t="s">
        <v>55</v>
      </c>
    </row>
    <row r="78" spans="1:3" x14ac:dyDescent="0.2">
      <c r="A78" s="28" t="s">
        <v>102</v>
      </c>
      <c r="B78" s="34">
        <v>3</v>
      </c>
      <c r="C78" s="35" t="s">
        <v>58</v>
      </c>
    </row>
    <row r="79" spans="1:3" x14ac:dyDescent="0.2">
      <c r="A79" s="31" t="s">
        <v>103</v>
      </c>
      <c r="B79" s="36">
        <v>4</v>
      </c>
      <c r="C79" s="37" t="s">
        <v>63</v>
      </c>
    </row>
    <row r="83" spans="1:3" x14ac:dyDescent="0.2">
      <c r="A83" s="10" t="s">
        <v>104</v>
      </c>
      <c r="B83" s="10"/>
      <c r="C83" s="10"/>
    </row>
    <row r="84" spans="1:3" x14ac:dyDescent="0.2">
      <c r="A84" s="28" t="s">
        <v>105</v>
      </c>
      <c r="B84" s="29">
        <v>1</v>
      </c>
      <c r="C84" s="30" t="s">
        <v>51</v>
      </c>
    </row>
    <row r="85" spans="1:3" x14ac:dyDescent="0.2">
      <c r="A85" s="31" t="s">
        <v>106</v>
      </c>
      <c r="B85" s="32">
        <v>2</v>
      </c>
      <c r="C85" s="33" t="s">
        <v>55</v>
      </c>
    </row>
    <row r="86" spans="1:3" x14ac:dyDescent="0.2">
      <c r="A86" s="28" t="s">
        <v>107</v>
      </c>
      <c r="B86" s="34">
        <v>3</v>
      </c>
      <c r="C86" s="35" t="s">
        <v>58</v>
      </c>
    </row>
    <row r="87" spans="1:3" x14ac:dyDescent="0.2">
      <c r="A87" s="31" t="s">
        <v>108</v>
      </c>
      <c r="B87" s="36">
        <v>4</v>
      </c>
      <c r="C87" s="37" t="s">
        <v>63</v>
      </c>
    </row>
    <row r="92" spans="1:3" x14ac:dyDescent="0.2">
      <c r="A92" s="10" t="s">
        <v>109</v>
      </c>
      <c r="B92" s="10"/>
      <c r="C92" s="10"/>
    </row>
    <row r="93" spans="1:3" x14ac:dyDescent="0.2">
      <c r="A93" s="28" t="s">
        <v>110</v>
      </c>
      <c r="B93" s="29">
        <v>1</v>
      </c>
      <c r="C93" s="30" t="s">
        <v>51</v>
      </c>
    </row>
    <row r="94" spans="1:3" x14ac:dyDescent="0.2">
      <c r="A94" s="31" t="s">
        <v>111</v>
      </c>
      <c r="B94" s="29">
        <v>1</v>
      </c>
      <c r="C94" s="30" t="s">
        <v>51</v>
      </c>
    </row>
    <row r="95" spans="1:3" x14ac:dyDescent="0.2">
      <c r="A95" s="28" t="s">
        <v>112</v>
      </c>
      <c r="B95" s="29">
        <v>1</v>
      </c>
      <c r="C95" s="30" t="s">
        <v>51</v>
      </c>
    </row>
    <row r="96" spans="1:3" x14ac:dyDescent="0.2">
      <c r="A96" s="31" t="s">
        <v>113</v>
      </c>
      <c r="B96" s="32">
        <v>2</v>
      </c>
      <c r="C96" s="33" t="s">
        <v>55</v>
      </c>
    </row>
    <row r="97" spans="1:3" x14ac:dyDescent="0.2">
      <c r="A97" s="28" t="s">
        <v>114</v>
      </c>
      <c r="B97" s="32">
        <v>2</v>
      </c>
      <c r="C97" s="33" t="s">
        <v>55</v>
      </c>
    </row>
    <row r="98" spans="1:3" x14ac:dyDescent="0.2">
      <c r="A98" s="31" t="s">
        <v>115</v>
      </c>
      <c r="B98" s="32">
        <v>2</v>
      </c>
      <c r="C98" s="33" t="s">
        <v>55</v>
      </c>
    </row>
    <row r="99" spans="1:3" x14ac:dyDescent="0.2">
      <c r="A99" s="28" t="s">
        <v>116</v>
      </c>
      <c r="B99" s="32">
        <v>2</v>
      </c>
      <c r="C99" s="33" t="s">
        <v>55</v>
      </c>
    </row>
    <row r="100" spans="1:3" x14ac:dyDescent="0.2">
      <c r="A100" s="31" t="s">
        <v>117</v>
      </c>
      <c r="B100" s="32">
        <v>2</v>
      </c>
      <c r="C100" s="33" t="s">
        <v>55</v>
      </c>
    </row>
    <row r="101" spans="1:3" x14ac:dyDescent="0.2">
      <c r="A101" s="28" t="s">
        <v>118</v>
      </c>
      <c r="B101" s="32">
        <v>2</v>
      </c>
      <c r="C101" s="33" t="s">
        <v>55</v>
      </c>
    </row>
    <row r="102" spans="1:3" x14ac:dyDescent="0.2">
      <c r="A102" s="31" t="s">
        <v>119</v>
      </c>
      <c r="B102" s="32">
        <v>2</v>
      </c>
      <c r="C102" s="33" t="s">
        <v>55</v>
      </c>
    </row>
    <row r="103" spans="1:3" x14ac:dyDescent="0.2">
      <c r="A103" s="28" t="s">
        <v>120</v>
      </c>
      <c r="B103" s="32">
        <v>2</v>
      </c>
      <c r="C103" s="33" t="s">
        <v>55</v>
      </c>
    </row>
    <row r="104" spans="1:3" x14ac:dyDescent="0.2">
      <c r="A104" s="31" t="s">
        <v>121</v>
      </c>
      <c r="B104" s="34">
        <v>3</v>
      </c>
      <c r="C104" s="35" t="s">
        <v>58</v>
      </c>
    </row>
    <row r="105" spans="1:3" x14ac:dyDescent="0.2">
      <c r="A105" s="28" t="s">
        <v>122</v>
      </c>
      <c r="B105" s="34">
        <v>3</v>
      </c>
      <c r="C105" s="35" t="s">
        <v>58</v>
      </c>
    </row>
    <row r="106" spans="1:3" x14ac:dyDescent="0.2">
      <c r="A106" s="31" t="s">
        <v>123</v>
      </c>
      <c r="B106" s="34">
        <v>3</v>
      </c>
      <c r="C106" s="35" t="s">
        <v>58</v>
      </c>
    </row>
    <row r="107" spans="1:3" x14ac:dyDescent="0.2">
      <c r="A107" s="28" t="s">
        <v>124</v>
      </c>
      <c r="B107" s="34">
        <v>3</v>
      </c>
      <c r="C107" s="35" t="s">
        <v>58</v>
      </c>
    </row>
    <row r="108" spans="1:3" x14ac:dyDescent="0.2">
      <c r="A108" s="31" t="s">
        <v>125</v>
      </c>
      <c r="B108" s="34">
        <v>3</v>
      </c>
      <c r="C108" s="35" t="s">
        <v>58</v>
      </c>
    </row>
    <row r="109" spans="1:3" x14ac:dyDescent="0.2">
      <c r="A109" s="28" t="s">
        <v>126</v>
      </c>
      <c r="B109" s="34">
        <v>3</v>
      </c>
      <c r="C109" s="35" t="s">
        <v>58</v>
      </c>
    </row>
    <row r="110" spans="1:3" x14ac:dyDescent="0.2">
      <c r="A110" s="31" t="s">
        <v>127</v>
      </c>
      <c r="B110" s="34">
        <v>3</v>
      </c>
      <c r="C110" s="35" t="s">
        <v>58</v>
      </c>
    </row>
    <row r="111" spans="1:3" x14ac:dyDescent="0.2">
      <c r="A111" s="28" t="s">
        <v>128</v>
      </c>
      <c r="B111" s="34">
        <v>3</v>
      </c>
      <c r="C111" s="35" t="s">
        <v>58</v>
      </c>
    </row>
    <row r="112" spans="1:3" x14ac:dyDescent="0.2">
      <c r="A112" s="31" t="s">
        <v>129</v>
      </c>
      <c r="B112" s="34">
        <v>3</v>
      </c>
      <c r="C112" s="35" t="s">
        <v>58</v>
      </c>
    </row>
    <row r="113" spans="1:3" x14ac:dyDescent="0.2">
      <c r="A113" s="28" t="s">
        <v>130</v>
      </c>
      <c r="B113" s="34">
        <v>3</v>
      </c>
      <c r="C113" s="35" t="s">
        <v>58</v>
      </c>
    </row>
    <row r="114" spans="1:3" x14ac:dyDescent="0.2">
      <c r="A114" s="31" t="s">
        <v>131</v>
      </c>
      <c r="B114" s="34">
        <v>3</v>
      </c>
      <c r="C114" s="35" t="s">
        <v>58</v>
      </c>
    </row>
    <row r="115" spans="1:3" x14ac:dyDescent="0.2">
      <c r="A115" s="28" t="s">
        <v>132</v>
      </c>
      <c r="B115" s="34">
        <v>3</v>
      </c>
      <c r="C115" s="35" t="s">
        <v>58</v>
      </c>
    </row>
    <row r="116" spans="1:3" x14ac:dyDescent="0.2">
      <c r="A116" s="31" t="s">
        <v>133</v>
      </c>
      <c r="B116" s="36">
        <v>4</v>
      </c>
      <c r="C116" s="37" t="s">
        <v>63</v>
      </c>
    </row>
    <row r="117" spans="1:3" x14ac:dyDescent="0.2">
      <c r="A117" s="28" t="s">
        <v>134</v>
      </c>
      <c r="B117" s="36">
        <v>4</v>
      </c>
      <c r="C117" s="37" t="s">
        <v>63</v>
      </c>
    </row>
    <row r="118" spans="1:3" x14ac:dyDescent="0.2">
      <c r="A118" s="31" t="s">
        <v>135</v>
      </c>
      <c r="B118" s="36">
        <v>4</v>
      </c>
      <c r="C118" s="37" t="s">
        <v>63</v>
      </c>
    </row>
    <row r="119" spans="1:3" x14ac:dyDescent="0.2">
      <c r="A119" s="28" t="s">
        <v>136</v>
      </c>
      <c r="B119" s="36">
        <v>4</v>
      </c>
      <c r="C119" s="37" t="s">
        <v>63</v>
      </c>
    </row>
    <row r="120" spans="1:3" x14ac:dyDescent="0.2">
      <c r="A120" s="31" t="s">
        <v>137</v>
      </c>
      <c r="B120" s="36">
        <v>4</v>
      </c>
      <c r="C120" s="37" t="s">
        <v>63</v>
      </c>
    </row>
    <row r="124" spans="1:3" x14ac:dyDescent="0.2">
      <c r="A124" s="10" t="s">
        <v>138</v>
      </c>
      <c r="B124" s="10"/>
      <c r="C124" s="10"/>
    </row>
    <row r="125" spans="1:3" x14ac:dyDescent="0.2">
      <c r="A125" s="28" t="s">
        <v>139</v>
      </c>
      <c r="B125" s="29">
        <v>1</v>
      </c>
      <c r="C125" s="30" t="s">
        <v>51</v>
      </c>
    </row>
    <row r="126" spans="1:3" x14ac:dyDescent="0.2">
      <c r="A126" s="31" t="s">
        <v>140</v>
      </c>
      <c r="B126" s="29">
        <v>1</v>
      </c>
      <c r="C126" s="30" t="s">
        <v>51</v>
      </c>
    </row>
    <row r="127" spans="1:3" x14ac:dyDescent="0.2">
      <c r="A127" s="28" t="s">
        <v>141</v>
      </c>
      <c r="B127" s="34">
        <v>3</v>
      </c>
      <c r="C127" s="35" t="s">
        <v>58</v>
      </c>
    </row>
    <row r="128" spans="1:3" x14ac:dyDescent="0.2">
      <c r="A128" s="31" t="s">
        <v>142</v>
      </c>
      <c r="B128" s="36">
        <v>4</v>
      </c>
      <c r="C128" s="37" t="s">
        <v>63</v>
      </c>
    </row>
    <row r="132" spans="1:3" x14ac:dyDescent="0.2">
      <c r="A132" s="10" t="s">
        <v>143</v>
      </c>
      <c r="B132" s="10"/>
      <c r="C132" s="10"/>
    </row>
    <row r="133" spans="1:3" x14ac:dyDescent="0.2">
      <c r="A133" s="28" t="s">
        <v>144</v>
      </c>
      <c r="B133" s="29">
        <v>1</v>
      </c>
      <c r="C133" s="30" t="s">
        <v>51</v>
      </c>
    </row>
    <row r="134" spans="1:3" x14ac:dyDescent="0.2">
      <c r="A134" s="31" t="s">
        <v>145</v>
      </c>
      <c r="B134" s="32">
        <v>2</v>
      </c>
      <c r="C134" s="33" t="s">
        <v>55</v>
      </c>
    </row>
    <row r="135" spans="1:3" x14ac:dyDescent="0.2">
      <c r="A135" s="28" t="s">
        <v>146</v>
      </c>
      <c r="B135" s="32">
        <v>2</v>
      </c>
      <c r="C135" s="33" t="s">
        <v>55</v>
      </c>
    </row>
    <row r="136" spans="1:3" x14ac:dyDescent="0.2">
      <c r="A136" s="31" t="s">
        <v>147</v>
      </c>
      <c r="B136" s="34">
        <v>3</v>
      </c>
      <c r="C136" s="35" t="s">
        <v>58</v>
      </c>
    </row>
    <row r="140" spans="1:3" x14ac:dyDescent="0.2">
      <c r="A140" s="10" t="s">
        <v>148</v>
      </c>
      <c r="B140" s="10"/>
      <c r="C140" s="10"/>
    </row>
    <row r="141" spans="1:3" x14ac:dyDescent="0.2">
      <c r="A141" s="28" t="s">
        <v>149</v>
      </c>
      <c r="B141" s="29">
        <v>1</v>
      </c>
      <c r="C141" s="30" t="s">
        <v>51</v>
      </c>
    </row>
    <row r="142" spans="1:3" x14ac:dyDescent="0.2">
      <c r="A142" s="31" t="s">
        <v>150</v>
      </c>
      <c r="B142" s="29">
        <v>1</v>
      </c>
      <c r="C142" s="30" t="s">
        <v>51</v>
      </c>
    </row>
    <row r="143" spans="1:3" x14ac:dyDescent="0.2">
      <c r="A143" s="28" t="s">
        <v>151</v>
      </c>
      <c r="B143" s="32">
        <v>2</v>
      </c>
      <c r="C143" s="33" t="s">
        <v>55</v>
      </c>
    </row>
    <row r="144" spans="1:3" x14ac:dyDescent="0.2">
      <c r="A144" s="31" t="s">
        <v>152</v>
      </c>
      <c r="B144" s="32">
        <v>2</v>
      </c>
      <c r="C144" s="33" t="s">
        <v>55</v>
      </c>
    </row>
    <row r="145" spans="1:3" x14ac:dyDescent="0.2">
      <c r="A145" s="28" t="s">
        <v>153</v>
      </c>
      <c r="B145" s="29">
        <v>1</v>
      </c>
      <c r="C145" s="30" t="s">
        <v>51</v>
      </c>
    </row>
    <row r="146" spans="1:3" x14ac:dyDescent="0.2">
      <c r="A146" s="31" t="s">
        <v>154</v>
      </c>
      <c r="B146" s="34">
        <v>3</v>
      </c>
      <c r="C146" s="35" t="s">
        <v>58</v>
      </c>
    </row>
    <row r="147" spans="1:3" x14ac:dyDescent="0.2">
      <c r="A147" s="28" t="s">
        <v>155</v>
      </c>
      <c r="B147" s="34">
        <v>3</v>
      </c>
      <c r="C147" s="35" t="s">
        <v>58</v>
      </c>
    </row>
    <row r="148" spans="1:3" x14ac:dyDescent="0.2">
      <c r="A148" s="31" t="s">
        <v>156</v>
      </c>
      <c r="B148" s="34">
        <v>3</v>
      </c>
      <c r="C148" s="35" t="s">
        <v>58</v>
      </c>
    </row>
    <row r="151" spans="1:3" x14ac:dyDescent="0.2">
      <c r="A151" s="10" t="s">
        <v>157</v>
      </c>
      <c r="B151" s="10"/>
      <c r="C151" s="10"/>
    </row>
    <row r="152" spans="1:3" x14ac:dyDescent="0.2">
      <c r="A152" s="28" t="s">
        <v>158</v>
      </c>
      <c r="B152" s="29">
        <v>1</v>
      </c>
      <c r="C152" s="30" t="s">
        <v>51</v>
      </c>
    </row>
    <row r="153" spans="1:3" x14ac:dyDescent="0.2">
      <c r="A153" s="31" t="s">
        <v>159</v>
      </c>
      <c r="B153" s="29">
        <v>1</v>
      </c>
      <c r="C153" s="30" t="s">
        <v>51</v>
      </c>
    </row>
    <row r="154" spans="1:3" x14ac:dyDescent="0.2">
      <c r="A154" s="28" t="s">
        <v>160</v>
      </c>
      <c r="B154" s="29">
        <v>1</v>
      </c>
      <c r="C154" s="30" t="s">
        <v>51</v>
      </c>
    </row>
    <row r="155" spans="1:3" x14ac:dyDescent="0.2">
      <c r="A155" s="31" t="s">
        <v>161</v>
      </c>
      <c r="B155" s="29">
        <v>1</v>
      </c>
      <c r="C155" s="30" t="s">
        <v>51</v>
      </c>
    </row>
    <row r="156" spans="1:3" x14ac:dyDescent="0.2">
      <c r="A156" s="28" t="s">
        <v>162</v>
      </c>
      <c r="B156" s="32">
        <v>2</v>
      </c>
      <c r="C156" s="33" t="s">
        <v>55</v>
      </c>
    </row>
    <row r="157" spans="1:3" x14ac:dyDescent="0.2">
      <c r="A157" s="31" t="s">
        <v>163</v>
      </c>
      <c r="B157" s="32">
        <v>2</v>
      </c>
      <c r="C157" s="33" t="s">
        <v>55</v>
      </c>
    </row>
    <row r="158" spans="1:3" x14ac:dyDescent="0.2">
      <c r="A158" s="28" t="s">
        <v>164</v>
      </c>
      <c r="B158" s="34">
        <v>3</v>
      </c>
      <c r="C158" s="35" t="s">
        <v>58</v>
      </c>
    </row>
    <row r="159" spans="1:3" x14ac:dyDescent="0.2">
      <c r="A159" s="31" t="s">
        <v>151</v>
      </c>
      <c r="B159" s="32">
        <v>2</v>
      </c>
      <c r="C159" s="33" t="s">
        <v>55</v>
      </c>
    </row>
    <row r="160" spans="1:3" x14ac:dyDescent="0.2">
      <c r="A160" s="28" t="s">
        <v>156</v>
      </c>
      <c r="B160" s="34">
        <v>3</v>
      </c>
      <c r="C160" s="35" t="s">
        <v>58</v>
      </c>
    </row>
    <row r="164" spans="1:4" x14ac:dyDescent="0.2">
      <c r="A164" s="10" t="s">
        <v>165</v>
      </c>
      <c r="B164" s="10"/>
      <c r="C164" s="10"/>
    </row>
    <row r="166" spans="1:4" x14ac:dyDescent="0.2">
      <c r="A166" s="10" t="s">
        <v>166</v>
      </c>
      <c r="B166" s="10"/>
      <c r="C166" s="10"/>
    </row>
    <row r="167" spans="1:4" ht="15" customHeight="1" x14ac:dyDescent="0.2">
      <c r="A167" s="38" t="s">
        <v>167</v>
      </c>
      <c r="B167" s="3" t="s">
        <v>168</v>
      </c>
      <c r="C167" s="3"/>
      <c r="D167" s="3"/>
    </row>
    <row r="169" spans="1:4" ht="22.25" customHeight="1" x14ac:dyDescent="0.2">
      <c r="A169" s="38" t="s">
        <v>169</v>
      </c>
      <c r="B169" s="3" t="s">
        <v>170</v>
      </c>
      <c r="C169" s="3"/>
      <c r="D169" s="3"/>
    </row>
    <row r="171" spans="1:4" ht="22.25" customHeight="1" x14ac:dyDescent="0.2">
      <c r="A171" s="38" t="s">
        <v>171</v>
      </c>
      <c r="B171" s="3" t="s">
        <v>172</v>
      </c>
      <c r="C171" s="3"/>
      <c r="D171" s="3"/>
    </row>
    <row r="173" spans="1:4" ht="22.25" customHeight="1" x14ac:dyDescent="0.2">
      <c r="A173" s="38" t="s">
        <v>173</v>
      </c>
      <c r="B173" s="3" t="s">
        <v>174</v>
      </c>
      <c r="C173" s="3"/>
      <c r="D173" s="3"/>
    </row>
    <row r="176" spans="1:4" x14ac:dyDescent="0.2">
      <c r="A176" s="10" t="s">
        <v>175</v>
      </c>
      <c r="B176" s="10"/>
      <c r="C176" s="10"/>
    </row>
    <row r="177" spans="1:4" ht="22.25" customHeight="1" x14ac:dyDescent="0.2">
      <c r="A177" s="38" t="s">
        <v>176</v>
      </c>
      <c r="B177" s="3" t="s">
        <v>177</v>
      </c>
      <c r="C177" s="3"/>
      <c r="D177" s="3"/>
    </row>
    <row r="179" spans="1:4" ht="22.25" customHeight="1" x14ac:dyDescent="0.2">
      <c r="A179" s="38" t="s">
        <v>178</v>
      </c>
      <c r="B179" s="3" t="s">
        <v>179</v>
      </c>
      <c r="C179" s="3"/>
      <c r="D179" s="3"/>
    </row>
    <row r="181" spans="1:4" ht="22.25" customHeight="1" x14ac:dyDescent="0.2">
      <c r="A181" s="38" t="s">
        <v>180</v>
      </c>
      <c r="B181" s="3" t="s">
        <v>181</v>
      </c>
      <c r="C181" s="3"/>
      <c r="D181" s="3"/>
    </row>
    <row r="183" spans="1:4" ht="15" customHeight="1" x14ac:dyDescent="0.2">
      <c r="A183" s="38" t="s">
        <v>182</v>
      </c>
      <c r="B183" s="3" t="s">
        <v>183</v>
      </c>
      <c r="C183" s="3"/>
      <c r="D183" s="3"/>
    </row>
    <row r="186" spans="1:4" x14ac:dyDescent="0.2">
      <c r="A186" s="10" t="s">
        <v>184</v>
      </c>
      <c r="B186" s="10"/>
      <c r="C186" s="10"/>
    </row>
    <row r="187" spans="1:4" ht="22.25" customHeight="1" x14ac:dyDescent="0.2">
      <c r="A187" s="3" t="s">
        <v>185</v>
      </c>
      <c r="B187" s="3"/>
      <c r="C187" s="3"/>
      <c r="D187" s="3"/>
    </row>
    <row r="189" spans="1:4" x14ac:dyDescent="0.2">
      <c r="A189" s="10" t="s">
        <v>186</v>
      </c>
      <c r="B189" s="10"/>
      <c r="C189" s="10"/>
    </row>
    <row r="191" spans="1:4" x14ac:dyDescent="0.2">
      <c r="A191" s="38" t="s">
        <v>187</v>
      </c>
    </row>
    <row r="194" spans="1:4" x14ac:dyDescent="0.2">
      <c r="A194" s="38" t="s">
        <v>188</v>
      </c>
    </row>
    <row r="195" spans="1:4" ht="15" customHeight="1" x14ac:dyDescent="0.2">
      <c r="B195" s="3" t="s">
        <v>189</v>
      </c>
      <c r="C195" s="3"/>
      <c r="D195" s="3"/>
    </row>
    <row r="197" spans="1:4" x14ac:dyDescent="0.2">
      <c r="A197" s="38" t="s">
        <v>190</v>
      </c>
    </row>
    <row r="198" spans="1:4" ht="22.25" customHeight="1" x14ac:dyDescent="0.2">
      <c r="B198" s="3" t="s">
        <v>191</v>
      </c>
      <c r="C198" s="3"/>
      <c r="D198" s="3"/>
    </row>
    <row r="203" spans="1:4" x14ac:dyDescent="0.2">
      <c r="A203" s="10" t="s">
        <v>192</v>
      </c>
      <c r="B203" s="10"/>
      <c r="C203" s="10"/>
    </row>
    <row r="204" spans="1:4" ht="22.25" customHeight="1" x14ac:dyDescent="0.2">
      <c r="A204" s="3" t="s">
        <v>193</v>
      </c>
      <c r="B204" s="3"/>
      <c r="C204" s="3"/>
      <c r="D204" s="3"/>
    </row>
    <row r="205" spans="1:4" x14ac:dyDescent="0.2">
      <c r="A205" s="28" t="s">
        <v>194</v>
      </c>
      <c r="B205" s="29">
        <v>1</v>
      </c>
      <c r="C205" s="30" t="s">
        <v>51</v>
      </c>
    </row>
    <row r="206" spans="1:4" x14ac:dyDescent="0.2">
      <c r="A206" s="31" t="s">
        <v>195</v>
      </c>
      <c r="B206" s="32">
        <v>2</v>
      </c>
      <c r="C206" s="33" t="s">
        <v>55</v>
      </c>
    </row>
    <row r="207" spans="1:4" x14ac:dyDescent="0.2">
      <c r="A207" s="28" t="s">
        <v>196</v>
      </c>
      <c r="B207" s="34">
        <v>3</v>
      </c>
      <c r="C207" s="35" t="s">
        <v>58</v>
      </c>
    </row>
    <row r="208" spans="1:4" x14ac:dyDescent="0.2">
      <c r="A208" s="31" t="s">
        <v>197</v>
      </c>
      <c r="B208" s="36">
        <v>4</v>
      </c>
      <c r="C208" s="37" t="s">
        <v>63</v>
      </c>
    </row>
    <row r="211" spans="1:4" x14ac:dyDescent="0.2">
      <c r="A211" s="10" t="s">
        <v>198</v>
      </c>
      <c r="B211" s="10"/>
      <c r="C211" s="10"/>
    </row>
    <row r="212" spans="1:4" ht="22.25" customHeight="1" x14ac:dyDescent="0.2">
      <c r="A212" s="3" t="s">
        <v>199</v>
      </c>
      <c r="B212" s="3"/>
      <c r="C212" s="3"/>
      <c r="D212" s="3"/>
    </row>
    <row r="213" spans="1:4" x14ac:dyDescent="0.2">
      <c r="A213" s="28" t="s">
        <v>200</v>
      </c>
      <c r="B213" s="29">
        <v>1</v>
      </c>
      <c r="C213" s="30" t="s">
        <v>51</v>
      </c>
    </row>
    <row r="214" spans="1:4" x14ac:dyDescent="0.2">
      <c r="A214" s="31" t="s">
        <v>201</v>
      </c>
      <c r="B214" s="32">
        <v>2</v>
      </c>
      <c r="C214" s="33" t="s">
        <v>55</v>
      </c>
    </row>
    <row r="215" spans="1:4" x14ac:dyDescent="0.2">
      <c r="A215" s="28" t="s">
        <v>202</v>
      </c>
      <c r="B215" s="34">
        <v>3</v>
      </c>
      <c r="C215" s="35" t="s">
        <v>58</v>
      </c>
    </row>
    <row r="216" spans="1:4" x14ac:dyDescent="0.2">
      <c r="A216" s="31" t="s">
        <v>203</v>
      </c>
      <c r="B216" s="36">
        <v>4</v>
      </c>
      <c r="C216" s="37" t="s">
        <v>63</v>
      </c>
    </row>
  </sheetData>
  <mergeCells count="36">
    <mergeCell ref="A212:D212"/>
    <mergeCell ref="B195:D195"/>
    <mergeCell ref="B198:D198"/>
    <mergeCell ref="A203:C203"/>
    <mergeCell ref="A204:D204"/>
    <mergeCell ref="A211:C211"/>
    <mergeCell ref="B181:D181"/>
    <mergeCell ref="B183:D183"/>
    <mergeCell ref="A186:C186"/>
    <mergeCell ref="A187:D187"/>
    <mergeCell ref="A189:C189"/>
    <mergeCell ref="B171:D171"/>
    <mergeCell ref="B173:D173"/>
    <mergeCell ref="A176:C176"/>
    <mergeCell ref="B177:D177"/>
    <mergeCell ref="B179:D179"/>
    <mergeCell ref="A151:C151"/>
    <mergeCell ref="A164:C164"/>
    <mergeCell ref="A166:C166"/>
    <mergeCell ref="B167:D167"/>
    <mergeCell ref="B169:D169"/>
    <mergeCell ref="A83:C83"/>
    <mergeCell ref="A92:C92"/>
    <mergeCell ref="A124:C124"/>
    <mergeCell ref="A132:C132"/>
    <mergeCell ref="A140:C140"/>
    <mergeCell ref="A42:C42"/>
    <mergeCell ref="A50:C50"/>
    <mergeCell ref="A58:C58"/>
    <mergeCell ref="A67:C67"/>
    <mergeCell ref="A75:C75"/>
    <mergeCell ref="A1:C1"/>
    <mergeCell ref="A2:C2"/>
    <mergeCell ref="A18:C18"/>
    <mergeCell ref="A26:C26"/>
    <mergeCell ref="A34:C34"/>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2"/>
  <sheetViews>
    <sheetView zoomScaleNormal="100" workbookViewId="0">
      <selection sqref="A1:G1"/>
    </sheetView>
  </sheetViews>
  <sheetFormatPr baseColWidth="10" defaultColWidth="8.6640625" defaultRowHeight="15" customHeight="1" x14ac:dyDescent="0.2"/>
  <cols>
    <col min="1" max="1" width="28" customWidth="1"/>
    <col min="2" max="2" width="16" customWidth="1"/>
    <col min="3" max="4" width="14" customWidth="1"/>
    <col min="5" max="5" width="12" customWidth="1"/>
    <col min="6" max="6" width="16" customWidth="1"/>
    <col min="7" max="7" width="50" customWidth="1"/>
  </cols>
  <sheetData>
    <row r="1" spans="1:7" x14ac:dyDescent="0.2">
      <c r="A1" s="4" t="s">
        <v>204</v>
      </c>
      <c r="B1" s="4"/>
      <c r="C1" s="4"/>
      <c r="D1" s="4"/>
      <c r="E1" s="4"/>
      <c r="F1" s="4"/>
      <c r="G1" s="4"/>
    </row>
    <row r="2" spans="1:7" x14ac:dyDescent="0.2">
      <c r="A2" s="40" t="s">
        <v>205</v>
      </c>
      <c r="B2" s="40" t="s">
        <v>206</v>
      </c>
      <c r="C2" s="40" t="s">
        <v>207</v>
      </c>
      <c r="D2" s="40" t="s">
        <v>208</v>
      </c>
      <c r="E2" s="40" t="s">
        <v>209</v>
      </c>
      <c r="F2" s="40" t="s">
        <v>210</v>
      </c>
      <c r="G2" s="40" t="s">
        <v>211</v>
      </c>
    </row>
    <row r="3" spans="1:7" x14ac:dyDescent="0.2">
      <c r="A3" s="28" t="s">
        <v>212</v>
      </c>
      <c r="B3" s="41" t="s">
        <v>213</v>
      </c>
      <c r="C3" s="41" t="s">
        <v>214</v>
      </c>
      <c r="D3" s="41" t="s">
        <v>215</v>
      </c>
      <c r="E3" s="29">
        <v>1</v>
      </c>
      <c r="F3" s="30" t="s">
        <v>51</v>
      </c>
      <c r="G3" s="28" t="s">
        <v>216</v>
      </c>
    </row>
    <row r="4" spans="1:7" x14ac:dyDescent="0.2">
      <c r="A4" s="31" t="s">
        <v>217</v>
      </c>
      <c r="B4" s="42" t="s">
        <v>218</v>
      </c>
      <c r="C4" s="42" t="s">
        <v>214</v>
      </c>
      <c r="D4" s="42" t="s">
        <v>215</v>
      </c>
      <c r="E4" s="29">
        <v>1</v>
      </c>
      <c r="F4" s="30" t="s">
        <v>51</v>
      </c>
      <c r="G4" s="31" t="s">
        <v>216</v>
      </c>
    </row>
    <row r="5" spans="1:7" x14ac:dyDescent="0.2">
      <c r="A5" s="28" t="s">
        <v>219</v>
      </c>
      <c r="B5" s="41" t="s">
        <v>220</v>
      </c>
      <c r="C5" s="41" t="s">
        <v>214</v>
      </c>
      <c r="D5" s="41" t="s">
        <v>215</v>
      </c>
      <c r="E5" s="29">
        <v>1</v>
      </c>
      <c r="F5" s="30" t="s">
        <v>51</v>
      </c>
      <c r="G5" s="28" t="s">
        <v>221</v>
      </c>
    </row>
    <row r="6" spans="1:7" x14ac:dyDescent="0.2">
      <c r="A6" s="31" t="s">
        <v>222</v>
      </c>
      <c r="B6" s="42" t="s">
        <v>220</v>
      </c>
      <c r="C6" s="42" t="s">
        <v>214</v>
      </c>
      <c r="D6" s="42" t="s">
        <v>215</v>
      </c>
      <c r="E6" s="29">
        <v>1</v>
      </c>
      <c r="F6" s="30" t="s">
        <v>51</v>
      </c>
      <c r="G6" s="31" t="s">
        <v>221</v>
      </c>
    </row>
    <row r="7" spans="1:7" x14ac:dyDescent="0.2">
      <c r="A7" s="28" t="s">
        <v>223</v>
      </c>
      <c r="B7" s="41" t="s">
        <v>213</v>
      </c>
      <c r="C7" s="41" t="s">
        <v>214</v>
      </c>
      <c r="D7" s="41" t="s">
        <v>215</v>
      </c>
      <c r="E7" s="29">
        <v>1</v>
      </c>
      <c r="F7" s="30" t="s">
        <v>51</v>
      </c>
      <c r="G7" s="28" t="s">
        <v>224</v>
      </c>
    </row>
    <row r="8" spans="1:7" x14ac:dyDescent="0.2">
      <c r="A8" s="31" t="s">
        <v>225</v>
      </c>
      <c r="B8" s="42" t="s">
        <v>220</v>
      </c>
      <c r="C8" s="42" t="s">
        <v>214</v>
      </c>
      <c r="D8" s="42" t="s">
        <v>215</v>
      </c>
      <c r="E8" s="29">
        <v>1</v>
      </c>
      <c r="F8" s="30" t="s">
        <v>51</v>
      </c>
      <c r="G8" s="31" t="s">
        <v>226</v>
      </c>
    </row>
    <row r="9" spans="1:7" x14ac:dyDescent="0.2">
      <c r="A9" s="28" t="s">
        <v>227</v>
      </c>
      <c r="B9" s="41" t="s">
        <v>213</v>
      </c>
      <c r="C9" s="41" t="s">
        <v>214</v>
      </c>
      <c r="D9" s="41" t="s">
        <v>215</v>
      </c>
      <c r="E9" s="29">
        <v>1</v>
      </c>
      <c r="F9" s="30" t="s">
        <v>51</v>
      </c>
      <c r="G9" s="28" t="s">
        <v>228</v>
      </c>
    </row>
    <row r="10" spans="1:7" x14ac:dyDescent="0.2">
      <c r="A10" s="31" t="s">
        <v>229</v>
      </c>
      <c r="B10" s="42" t="s">
        <v>220</v>
      </c>
      <c r="C10" s="42" t="s">
        <v>214</v>
      </c>
      <c r="D10" s="42" t="s">
        <v>215</v>
      </c>
      <c r="E10" s="29">
        <v>1</v>
      </c>
      <c r="F10" s="30" t="s">
        <v>51</v>
      </c>
      <c r="G10" s="31" t="s">
        <v>230</v>
      </c>
    </row>
    <row r="11" spans="1:7" x14ac:dyDescent="0.2">
      <c r="A11" s="28" t="s">
        <v>231</v>
      </c>
      <c r="B11" s="41" t="s">
        <v>220</v>
      </c>
      <c r="C11" s="41" t="s">
        <v>214</v>
      </c>
      <c r="D11" s="41" t="s">
        <v>215</v>
      </c>
      <c r="E11" s="29">
        <v>1</v>
      </c>
      <c r="F11" s="30" t="s">
        <v>51</v>
      </c>
      <c r="G11" s="28" t="s">
        <v>221</v>
      </c>
    </row>
    <row r="12" spans="1:7" x14ac:dyDescent="0.2">
      <c r="A12" s="31" t="s">
        <v>232</v>
      </c>
      <c r="B12" s="42" t="s">
        <v>213</v>
      </c>
      <c r="C12" s="42" t="s">
        <v>214</v>
      </c>
      <c r="D12" s="42" t="s">
        <v>215</v>
      </c>
      <c r="E12" s="29">
        <v>1</v>
      </c>
      <c r="F12" s="30" t="s">
        <v>51</v>
      </c>
      <c r="G12" s="31" t="s">
        <v>233</v>
      </c>
    </row>
    <row r="13" spans="1:7" x14ac:dyDescent="0.2">
      <c r="A13" s="28" t="s">
        <v>234</v>
      </c>
      <c r="B13" s="41" t="s">
        <v>213</v>
      </c>
      <c r="C13" s="41" t="s">
        <v>214</v>
      </c>
      <c r="D13" s="41" t="s">
        <v>215</v>
      </c>
      <c r="E13" s="29">
        <v>1</v>
      </c>
      <c r="F13" s="30" t="s">
        <v>51</v>
      </c>
      <c r="G13" s="28" t="s">
        <v>235</v>
      </c>
    </row>
    <row r="14" spans="1:7" x14ac:dyDescent="0.2">
      <c r="A14" s="31" t="s">
        <v>236</v>
      </c>
      <c r="B14" s="42" t="s">
        <v>220</v>
      </c>
      <c r="C14" s="42" t="s">
        <v>214</v>
      </c>
      <c r="D14" s="42" t="s">
        <v>215</v>
      </c>
      <c r="E14" s="29">
        <v>1</v>
      </c>
      <c r="F14" s="30" t="s">
        <v>51</v>
      </c>
      <c r="G14" s="31" t="s">
        <v>237</v>
      </c>
    </row>
    <row r="15" spans="1:7" x14ac:dyDescent="0.2">
      <c r="A15" s="28" t="s">
        <v>238</v>
      </c>
      <c r="B15" s="41" t="s">
        <v>220</v>
      </c>
      <c r="C15" s="41" t="s">
        <v>214</v>
      </c>
      <c r="D15" s="41" t="s">
        <v>215</v>
      </c>
      <c r="E15" s="29">
        <v>1</v>
      </c>
      <c r="F15" s="30" t="s">
        <v>51</v>
      </c>
      <c r="G15" s="28" t="s">
        <v>239</v>
      </c>
    </row>
    <row r="16" spans="1:7" x14ac:dyDescent="0.2">
      <c r="A16" s="31" t="s">
        <v>240</v>
      </c>
      <c r="B16" s="42" t="s">
        <v>218</v>
      </c>
      <c r="C16" s="42" t="s">
        <v>214</v>
      </c>
      <c r="D16" s="42" t="s">
        <v>215</v>
      </c>
      <c r="E16" s="29">
        <v>1</v>
      </c>
      <c r="F16" s="30" t="s">
        <v>51</v>
      </c>
      <c r="G16" s="31" t="s">
        <v>241</v>
      </c>
    </row>
    <row r="17" spans="1:7" x14ac:dyDescent="0.2">
      <c r="A17" s="28" t="s">
        <v>242</v>
      </c>
      <c r="B17" s="41" t="s">
        <v>220</v>
      </c>
      <c r="C17" s="41" t="s">
        <v>214</v>
      </c>
      <c r="D17" s="41" t="s">
        <v>215</v>
      </c>
      <c r="E17" s="29">
        <v>1</v>
      </c>
      <c r="F17" s="30" t="s">
        <v>51</v>
      </c>
      <c r="G17" s="28" t="s">
        <v>243</v>
      </c>
    </row>
    <row r="18" spans="1:7" x14ac:dyDescent="0.2">
      <c r="A18" s="31" t="s">
        <v>244</v>
      </c>
      <c r="B18" s="42" t="s">
        <v>220</v>
      </c>
      <c r="C18" s="42" t="s">
        <v>214</v>
      </c>
      <c r="D18" s="42" t="s">
        <v>215</v>
      </c>
      <c r="E18" s="29">
        <v>1</v>
      </c>
      <c r="F18" s="30" t="s">
        <v>51</v>
      </c>
      <c r="G18" s="31" t="s">
        <v>245</v>
      </c>
    </row>
    <row r="19" spans="1:7" x14ac:dyDescent="0.2">
      <c r="A19" s="28" t="s">
        <v>246</v>
      </c>
      <c r="B19" s="41" t="s">
        <v>220</v>
      </c>
      <c r="C19" s="41" t="s">
        <v>214</v>
      </c>
      <c r="D19" s="41" t="s">
        <v>215</v>
      </c>
      <c r="E19" s="29">
        <v>1</v>
      </c>
      <c r="F19" s="30" t="s">
        <v>51</v>
      </c>
      <c r="G19" s="28" t="s">
        <v>247</v>
      </c>
    </row>
    <row r="20" spans="1:7" x14ac:dyDescent="0.2">
      <c r="A20" s="31" t="s">
        <v>248</v>
      </c>
      <c r="B20" s="42" t="s">
        <v>220</v>
      </c>
      <c r="C20" s="42" t="s">
        <v>214</v>
      </c>
      <c r="D20" s="42" t="s">
        <v>215</v>
      </c>
      <c r="E20" s="29">
        <v>1</v>
      </c>
      <c r="F20" s="30" t="s">
        <v>51</v>
      </c>
      <c r="G20" s="31" t="s">
        <v>247</v>
      </c>
    </row>
    <row r="21" spans="1:7" x14ac:dyDescent="0.2">
      <c r="A21" s="28" t="s">
        <v>249</v>
      </c>
      <c r="B21" s="41" t="s">
        <v>220</v>
      </c>
      <c r="C21" s="41" t="s">
        <v>214</v>
      </c>
      <c r="D21" s="41" t="s">
        <v>215</v>
      </c>
      <c r="E21" s="29">
        <v>1</v>
      </c>
      <c r="F21" s="30" t="s">
        <v>51</v>
      </c>
      <c r="G21" s="28" t="s">
        <v>247</v>
      </c>
    </row>
    <row r="22" spans="1:7" x14ac:dyDescent="0.2">
      <c r="A22" s="31" t="s">
        <v>250</v>
      </c>
      <c r="B22" s="42" t="s">
        <v>220</v>
      </c>
      <c r="C22" s="42" t="s">
        <v>214</v>
      </c>
      <c r="D22" s="42" t="s">
        <v>215</v>
      </c>
      <c r="E22" s="29">
        <v>1</v>
      </c>
      <c r="F22" s="30" t="s">
        <v>51</v>
      </c>
      <c r="G22" s="31" t="s">
        <v>247</v>
      </c>
    </row>
    <row r="23" spans="1:7" x14ac:dyDescent="0.2">
      <c r="A23" s="28" t="s">
        <v>251</v>
      </c>
      <c r="B23" s="41" t="s">
        <v>213</v>
      </c>
      <c r="C23" s="41" t="s">
        <v>214</v>
      </c>
      <c r="D23" s="41" t="s">
        <v>215</v>
      </c>
      <c r="E23" s="29">
        <v>1</v>
      </c>
      <c r="F23" s="30" t="s">
        <v>51</v>
      </c>
      <c r="G23" s="28" t="s">
        <v>252</v>
      </c>
    </row>
    <row r="24" spans="1:7" x14ac:dyDescent="0.2">
      <c r="A24" s="31" t="s">
        <v>253</v>
      </c>
      <c r="B24" s="42" t="s">
        <v>254</v>
      </c>
      <c r="C24" s="42" t="s">
        <v>214</v>
      </c>
      <c r="D24" s="42" t="s">
        <v>215</v>
      </c>
      <c r="E24" s="29">
        <v>1</v>
      </c>
      <c r="F24" s="30" t="s">
        <v>51</v>
      </c>
      <c r="G24" s="31" t="s">
        <v>255</v>
      </c>
    </row>
    <row r="25" spans="1:7" x14ac:dyDescent="0.2">
      <c r="A25" s="28" t="s">
        <v>256</v>
      </c>
      <c r="B25" s="41" t="s">
        <v>254</v>
      </c>
      <c r="C25" s="41" t="s">
        <v>214</v>
      </c>
      <c r="D25" s="41" t="s">
        <v>215</v>
      </c>
      <c r="E25" s="32">
        <v>2</v>
      </c>
      <c r="F25" s="33" t="s">
        <v>55</v>
      </c>
      <c r="G25" s="28" t="s">
        <v>257</v>
      </c>
    </row>
    <row r="26" spans="1:7" x14ac:dyDescent="0.2">
      <c r="A26" s="31" t="s">
        <v>258</v>
      </c>
      <c r="B26" s="42" t="s">
        <v>259</v>
      </c>
      <c r="C26" s="42" t="s">
        <v>214</v>
      </c>
      <c r="D26" s="42" t="s">
        <v>215</v>
      </c>
      <c r="E26" s="32">
        <v>2</v>
      </c>
      <c r="F26" s="33" t="s">
        <v>55</v>
      </c>
      <c r="G26" s="31" t="s">
        <v>260</v>
      </c>
    </row>
    <row r="27" spans="1:7" x14ac:dyDescent="0.2">
      <c r="A27" s="28" t="s">
        <v>261</v>
      </c>
      <c r="B27" s="41" t="s">
        <v>218</v>
      </c>
      <c r="C27" s="41" t="s">
        <v>214</v>
      </c>
      <c r="D27" s="41" t="s">
        <v>215</v>
      </c>
      <c r="E27" s="32">
        <v>2</v>
      </c>
      <c r="F27" s="33" t="s">
        <v>55</v>
      </c>
      <c r="G27" s="28" t="s">
        <v>262</v>
      </c>
    </row>
    <row r="28" spans="1:7" x14ac:dyDescent="0.2">
      <c r="A28" s="31" t="s">
        <v>263</v>
      </c>
      <c r="B28" s="42" t="s">
        <v>218</v>
      </c>
      <c r="C28" s="42" t="s">
        <v>214</v>
      </c>
      <c r="D28" s="42" t="s">
        <v>215</v>
      </c>
      <c r="E28" s="32">
        <v>2</v>
      </c>
      <c r="F28" s="33" t="s">
        <v>55</v>
      </c>
      <c r="G28" s="31" t="s">
        <v>264</v>
      </c>
    </row>
    <row r="29" spans="1:7" x14ac:dyDescent="0.2">
      <c r="A29" s="28" t="s">
        <v>265</v>
      </c>
      <c r="B29" s="41" t="s">
        <v>213</v>
      </c>
      <c r="C29" s="41" t="s">
        <v>214</v>
      </c>
      <c r="D29" s="41" t="s">
        <v>215</v>
      </c>
      <c r="E29" s="32">
        <v>2</v>
      </c>
      <c r="F29" s="33" t="s">
        <v>55</v>
      </c>
      <c r="G29" s="28" t="s">
        <v>266</v>
      </c>
    </row>
    <row r="30" spans="1:7" x14ac:dyDescent="0.2">
      <c r="A30" s="31" t="s">
        <v>267</v>
      </c>
      <c r="B30" s="42" t="s">
        <v>213</v>
      </c>
      <c r="C30" s="42" t="s">
        <v>214</v>
      </c>
      <c r="D30" s="42" t="s">
        <v>215</v>
      </c>
      <c r="E30" s="32">
        <v>2</v>
      </c>
      <c r="F30" s="33" t="s">
        <v>55</v>
      </c>
      <c r="G30" s="31" t="s">
        <v>268</v>
      </c>
    </row>
    <row r="31" spans="1:7" x14ac:dyDescent="0.2">
      <c r="A31" s="28" t="s">
        <v>269</v>
      </c>
      <c r="B31" s="41" t="s">
        <v>213</v>
      </c>
      <c r="C31" s="41" t="s">
        <v>214</v>
      </c>
      <c r="D31" s="41" t="s">
        <v>215</v>
      </c>
      <c r="E31" s="32">
        <v>2</v>
      </c>
      <c r="F31" s="33" t="s">
        <v>55</v>
      </c>
      <c r="G31" s="28" t="s">
        <v>270</v>
      </c>
    </row>
    <row r="32" spans="1:7" x14ac:dyDescent="0.2">
      <c r="A32" s="31" t="s">
        <v>271</v>
      </c>
      <c r="B32" s="42" t="s">
        <v>254</v>
      </c>
      <c r="C32" s="42" t="s">
        <v>214</v>
      </c>
      <c r="D32" s="42" t="s">
        <v>215</v>
      </c>
      <c r="E32" s="32">
        <v>2</v>
      </c>
      <c r="F32" s="33" t="s">
        <v>55</v>
      </c>
      <c r="G32" s="31" t="s">
        <v>272</v>
      </c>
    </row>
    <row r="33" spans="1:7" x14ac:dyDescent="0.2">
      <c r="A33" s="28" t="s">
        <v>273</v>
      </c>
      <c r="B33" s="41" t="s">
        <v>213</v>
      </c>
      <c r="C33" s="41" t="s">
        <v>214</v>
      </c>
      <c r="D33" s="41" t="s">
        <v>215</v>
      </c>
      <c r="E33" s="32">
        <v>2</v>
      </c>
      <c r="F33" s="33" t="s">
        <v>55</v>
      </c>
      <c r="G33" s="28" t="s">
        <v>274</v>
      </c>
    </row>
    <row r="34" spans="1:7" x14ac:dyDescent="0.2">
      <c r="A34" s="31" t="s">
        <v>275</v>
      </c>
      <c r="B34" s="42" t="s">
        <v>259</v>
      </c>
      <c r="C34" s="42" t="s">
        <v>214</v>
      </c>
      <c r="D34" s="42" t="s">
        <v>215</v>
      </c>
      <c r="E34" s="32">
        <v>2</v>
      </c>
      <c r="F34" s="33" t="s">
        <v>55</v>
      </c>
      <c r="G34" s="31" t="s">
        <v>276</v>
      </c>
    </row>
    <row r="35" spans="1:7" x14ac:dyDescent="0.2">
      <c r="A35" s="28" t="s">
        <v>277</v>
      </c>
      <c r="B35" s="41" t="s">
        <v>218</v>
      </c>
      <c r="C35" s="41" t="s">
        <v>214</v>
      </c>
      <c r="D35" s="41" t="s">
        <v>215</v>
      </c>
      <c r="E35" s="32">
        <v>2</v>
      </c>
      <c r="F35" s="33" t="s">
        <v>55</v>
      </c>
      <c r="G35" s="28" t="s">
        <v>278</v>
      </c>
    </row>
    <row r="36" spans="1:7" x14ac:dyDescent="0.2">
      <c r="A36" s="31" t="s">
        <v>279</v>
      </c>
      <c r="B36" s="42" t="s">
        <v>259</v>
      </c>
      <c r="C36" s="42" t="s">
        <v>214</v>
      </c>
      <c r="D36" s="42" t="s">
        <v>215</v>
      </c>
      <c r="E36" s="32">
        <v>2</v>
      </c>
      <c r="F36" s="33" t="s">
        <v>55</v>
      </c>
      <c r="G36" s="31" t="s">
        <v>280</v>
      </c>
    </row>
    <row r="37" spans="1:7" x14ac:dyDescent="0.2">
      <c r="A37" s="28" t="s">
        <v>281</v>
      </c>
      <c r="B37" s="41" t="s">
        <v>254</v>
      </c>
      <c r="C37" s="41" t="s">
        <v>214</v>
      </c>
      <c r="D37" s="41" t="s">
        <v>215</v>
      </c>
      <c r="E37" s="32">
        <v>2</v>
      </c>
      <c r="F37" s="33" t="s">
        <v>55</v>
      </c>
      <c r="G37" s="28" t="s">
        <v>282</v>
      </c>
    </row>
    <row r="38" spans="1:7" x14ac:dyDescent="0.2">
      <c r="A38" s="31" t="s">
        <v>283</v>
      </c>
      <c r="B38" s="42" t="s">
        <v>254</v>
      </c>
      <c r="C38" s="42" t="s">
        <v>214</v>
      </c>
      <c r="D38" s="42" t="s">
        <v>215</v>
      </c>
      <c r="E38" s="32">
        <v>2</v>
      </c>
      <c r="F38" s="33" t="s">
        <v>55</v>
      </c>
      <c r="G38" s="31" t="s">
        <v>284</v>
      </c>
    </row>
    <row r="39" spans="1:7" x14ac:dyDescent="0.2">
      <c r="A39" s="28" t="s">
        <v>285</v>
      </c>
      <c r="B39" s="41" t="s">
        <v>259</v>
      </c>
      <c r="C39" s="41" t="s">
        <v>214</v>
      </c>
      <c r="D39" s="41" t="s">
        <v>215</v>
      </c>
      <c r="E39" s="32">
        <v>2</v>
      </c>
      <c r="F39" s="33" t="s">
        <v>55</v>
      </c>
      <c r="G39" s="28" t="s">
        <v>286</v>
      </c>
    </row>
    <row r="40" spans="1:7" x14ac:dyDescent="0.2">
      <c r="A40" s="31" t="s">
        <v>287</v>
      </c>
      <c r="B40" s="42" t="s">
        <v>254</v>
      </c>
      <c r="C40" s="42" t="s">
        <v>214</v>
      </c>
      <c r="D40" s="42" t="s">
        <v>215</v>
      </c>
      <c r="E40" s="32">
        <v>2</v>
      </c>
      <c r="F40" s="33" t="s">
        <v>55</v>
      </c>
      <c r="G40" s="31" t="s">
        <v>288</v>
      </c>
    </row>
    <row r="41" spans="1:7" x14ac:dyDescent="0.2">
      <c r="A41" s="28" t="s">
        <v>289</v>
      </c>
      <c r="B41" s="41" t="s">
        <v>259</v>
      </c>
      <c r="C41" s="41" t="s">
        <v>214</v>
      </c>
      <c r="D41" s="41" t="s">
        <v>215</v>
      </c>
      <c r="E41" s="32">
        <v>2</v>
      </c>
      <c r="F41" s="33" t="s">
        <v>55</v>
      </c>
      <c r="G41" s="28" t="s">
        <v>290</v>
      </c>
    </row>
    <row r="42" spans="1:7" x14ac:dyDescent="0.2">
      <c r="A42" s="31" t="s">
        <v>291</v>
      </c>
      <c r="B42" s="42" t="s">
        <v>220</v>
      </c>
      <c r="C42" s="42" t="s">
        <v>214</v>
      </c>
      <c r="D42" s="42" t="s">
        <v>215</v>
      </c>
      <c r="E42" s="32">
        <v>2</v>
      </c>
      <c r="F42" s="33" t="s">
        <v>55</v>
      </c>
      <c r="G42" s="31" t="s">
        <v>292</v>
      </c>
    </row>
    <row r="43" spans="1:7" x14ac:dyDescent="0.2">
      <c r="A43" s="28" t="s">
        <v>293</v>
      </c>
      <c r="B43" s="41" t="s">
        <v>294</v>
      </c>
      <c r="C43" s="41" t="s">
        <v>214</v>
      </c>
      <c r="D43" s="41" t="s">
        <v>215</v>
      </c>
      <c r="E43" s="32">
        <v>2</v>
      </c>
      <c r="F43" s="33" t="s">
        <v>55</v>
      </c>
      <c r="G43" s="28" t="s">
        <v>295</v>
      </c>
    </row>
    <row r="44" spans="1:7" x14ac:dyDescent="0.2">
      <c r="A44" s="31" t="s">
        <v>296</v>
      </c>
      <c r="B44" s="42" t="s">
        <v>254</v>
      </c>
      <c r="C44" s="42" t="s">
        <v>214</v>
      </c>
      <c r="D44" s="42" t="s">
        <v>215</v>
      </c>
      <c r="E44" s="32">
        <v>2</v>
      </c>
      <c r="F44" s="33" t="s">
        <v>55</v>
      </c>
      <c r="G44" s="31" t="s">
        <v>297</v>
      </c>
    </row>
    <row r="45" spans="1:7" x14ac:dyDescent="0.2">
      <c r="A45" s="28" t="s">
        <v>298</v>
      </c>
      <c r="B45" s="41" t="s">
        <v>259</v>
      </c>
      <c r="C45" s="41" t="s">
        <v>214</v>
      </c>
      <c r="D45" s="41" t="s">
        <v>215</v>
      </c>
      <c r="E45" s="32">
        <v>2</v>
      </c>
      <c r="F45" s="33" t="s">
        <v>55</v>
      </c>
      <c r="G45" s="28" t="s">
        <v>299</v>
      </c>
    </row>
    <row r="46" spans="1:7" x14ac:dyDescent="0.2">
      <c r="A46" s="31" t="s">
        <v>300</v>
      </c>
      <c r="B46" s="42" t="s">
        <v>259</v>
      </c>
      <c r="C46" s="42" t="s">
        <v>214</v>
      </c>
      <c r="D46" s="42" t="s">
        <v>215</v>
      </c>
      <c r="E46" s="32">
        <v>2</v>
      </c>
      <c r="F46" s="33" t="s">
        <v>55</v>
      </c>
      <c r="G46" s="31" t="s">
        <v>301</v>
      </c>
    </row>
    <row r="47" spans="1:7" x14ac:dyDescent="0.2">
      <c r="A47" s="28" t="s">
        <v>302</v>
      </c>
      <c r="B47" s="41" t="s">
        <v>259</v>
      </c>
      <c r="C47" s="41" t="s">
        <v>214</v>
      </c>
      <c r="D47" s="41" t="s">
        <v>215</v>
      </c>
      <c r="E47" s="32">
        <v>2</v>
      </c>
      <c r="F47" s="33" t="s">
        <v>55</v>
      </c>
      <c r="G47" s="28" t="s">
        <v>303</v>
      </c>
    </row>
    <row r="48" spans="1:7" x14ac:dyDescent="0.2">
      <c r="A48" s="31" t="s">
        <v>304</v>
      </c>
      <c r="B48" s="42" t="s">
        <v>254</v>
      </c>
      <c r="C48" s="42" t="s">
        <v>214</v>
      </c>
      <c r="D48" s="42" t="s">
        <v>215</v>
      </c>
      <c r="E48" s="32">
        <v>2</v>
      </c>
      <c r="F48" s="33" t="s">
        <v>55</v>
      </c>
      <c r="G48" s="31" t="s">
        <v>280</v>
      </c>
    </row>
    <row r="49" spans="1:7" x14ac:dyDescent="0.2">
      <c r="A49" s="28" t="s">
        <v>305</v>
      </c>
      <c r="B49" s="41" t="s">
        <v>213</v>
      </c>
      <c r="C49" s="41" t="s">
        <v>214</v>
      </c>
      <c r="D49" s="41" t="s">
        <v>215</v>
      </c>
      <c r="E49" s="32">
        <v>2</v>
      </c>
      <c r="F49" s="33" t="s">
        <v>55</v>
      </c>
      <c r="G49" s="28" t="s">
        <v>306</v>
      </c>
    </row>
    <row r="50" spans="1:7" x14ac:dyDescent="0.2">
      <c r="A50" s="31" t="s">
        <v>307</v>
      </c>
      <c r="B50" s="42" t="s">
        <v>259</v>
      </c>
      <c r="C50" s="42" t="s">
        <v>214</v>
      </c>
      <c r="D50" s="42" t="s">
        <v>215</v>
      </c>
      <c r="E50" s="32">
        <v>2</v>
      </c>
      <c r="F50" s="33" t="s">
        <v>55</v>
      </c>
      <c r="G50" s="31" t="s">
        <v>308</v>
      </c>
    </row>
    <row r="51" spans="1:7" x14ac:dyDescent="0.2">
      <c r="A51" s="28" t="s">
        <v>309</v>
      </c>
      <c r="B51" s="41" t="s">
        <v>259</v>
      </c>
      <c r="C51" s="41" t="s">
        <v>214</v>
      </c>
      <c r="D51" s="41" t="s">
        <v>310</v>
      </c>
      <c r="E51" s="34">
        <v>3</v>
      </c>
      <c r="F51" s="35" t="s">
        <v>58</v>
      </c>
      <c r="G51" s="28" t="s">
        <v>311</v>
      </c>
    </row>
    <row r="52" spans="1:7" x14ac:dyDescent="0.2">
      <c r="A52" s="31" t="s">
        <v>312</v>
      </c>
      <c r="B52" s="42" t="s">
        <v>259</v>
      </c>
      <c r="C52" s="42" t="s">
        <v>214</v>
      </c>
      <c r="D52" s="42" t="s">
        <v>310</v>
      </c>
      <c r="E52" s="34">
        <v>3</v>
      </c>
      <c r="F52" s="35" t="s">
        <v>58</v>
      </c>
      <c r="G52" s="31" t="s">
        <v>313</v>
      </c>
    </row>
    <row r="53" spans="1:7" x14ac:dyDescent="0.2">
      <c r="A53" s="28" t="s">
        <v>314</v>
      </c>
      <c r="B53" s="41" t="s">
        <v>259</v>
      </c>
      <c r="C53" s="41" t="s">
        <v>214</v>
      </c>
      <c r="D53" s="41" t="s">
        <v>310</v>
      </c>
      <c r="E53" s="34">
        <v>3</v>
      </c>
      <c r="F53" s="35" t="s">
        <v>58</v>
      </c>
      <c r="G53" s="28" t="s">
        <v>315</v>
      </c>
    </row>
    <row r="54" spans="1:7" x14ac:dyDescent="0.2">
      <c r="A54" s="31" t="s">
        <v>316</v>
      </c>
      <c r="B54" s="42" t="s">
        <v>259</v>
      </c>
      <c r="C54" s="42" t="s">
        <v>214</v>
      </c>
      <c r="D54" s="42" t="s">
        <v>310</v>
      </c>
      <c r="E54" s="34">
        <v>3</v>
      </c>
      <c r="F54" s="35" t="s">
        <v>58</v>
      </c>
      <c r="G54" s="31" t="s">
        <v>317</v>
      </c>
    </row>
    <row r="55" spans="1:7" x14ac:dyDescent="0.2">
      <c r="A55" s="28" t="s">
        <v>318</v>
      </c>
      <c r="B55" s="41" t="s">
        <v>218</v>
      </c>
      <c r="C55" s="41" t="s">
        <v>214</v>
      </c>
      <c r="D55" s="41" t="s">
        <v>310</v>
      </c>
      <c r="E55" s="34">
        <v>3</v>
      </c>
      <c r="F55" s="35" t="s">
        <v>58</v>
      </c>
      <c r="G55" s="28" t="s">
        <v>319</v>
      </c>
    </row>
    <row r="56" spans="1:7" x14ac:dyDescent="0.2">
      <c r="A56" s="31" t="s">
        <v>320</v>
      </c>
      <c r="B56" s="42" t="s">
        <v>259</v>
      </c>
      <c r="C56" s="42" t="s">
        <v>214</v>
      </c>
      <c r="D56" s="42" t="s">
        <v>310</v>
      </c>
      <c r="E56" s="34">
        <v>3</v>
      </c>
      <c r="F56" s="35" t="s">
        <v>58</v>
      </c>
      <c r="G56" s="31" t="s">
        <v>321</v>
      </c>
    </row>
    <row r="57" spans="1:7" x14ac:dyDescent="0.2">
      <c r="A57" s="28" t="s">
        <v>322</v>
      </c>
      <c r="B57" s="41" t="s">
        <v>213</v>
      </c>
      <c r="C57" s="41" t="s">
        <v>214</v>
      </c>
      <c r="D57" s="41" t="s">
        <v>310</v>
      </c>
      <c r="E57" s="34">
        <v>3</v>
      </c>
      <c r="F57" s="35" t="s">
        <v>58</v>
      </c>
      <c r="G57" s="28" t="s">
        <v>315</v>
      </c>
    </row>
    <row r="58" spans="1:7" x14ac:dyDescent="0.2">
      <c r="A58" s="31" t="s">
        <v>323</v>
      </c>
      <c r="B58" s="42" t="s">
        <v>254</v>
      </c>
      <c r="C58" s="42" t="s">
        <v>214</v>
      </c>
      <c r="D58" s="42" t="s">
        <v>310</v>
      </c>
      <c r="E58" s="34">
        <v>3</v>
      </c>
      <c r="F58" s="35" t="s">
        <v>58</v>
      </c>
      <c r="G58" s="31" t="s">
        <v>324</v>
      </c>
    </row>
    <row r="59" spans="1:7" x14ac:dyDescent="0.2">
      <c r="A59" s="28" t="s">
        <v>325</v>
      </c>
      <c r="B59" s="41" t="s">
        <v>259</v>
      </c>
      <c r="C59" s="41" t="s">
        <v>214</v>
      </c>
      <c r="D59" s="41" t="s">
        <v>310</v>
      </c>
      <c r="E59" s="34">
        <v>3</v>
      </c>
      <c r="F59" s="35" t="s">
        <v>58</v>
      </c>
      <c r="G59" s="28" t="s">
        <v>326</v>
      </c>
    </row>
    <row r="60" spans="1:7" x14ac:dyDescent="0.2">
      <c r="A60" s="31" t="s">
        <v>327</v>
      </c>
      <c r="B60" s="42" t="s">
        <v>220</v>
      </c>
      <c r="C60" s="42" t="s">
        <v>214</v>
      </c>
      <c r="D60" s="42" t="s">
        <v>310</v>
      </c>
      <c r="E60" s="34">
        <v>3</v>
      </c>
      <c r="F60" s="35" t="s">
        <v>58</v>
      </c>
      <c r="G60" s="31" t="s">
        <v>315</v>
      </c>
    </row>
    <row r="61" spans="1:7" x14ac:dyDescent="0.2">
      <c r="A61" s="28" t="s">
        <v>328</v>
      </c>
      <c r="B61" s="41" t="s">
        <v>259</v>
      </c>
      <c r="C61" s="41" t="s">
        <v>214</v>
      </c>
      <c r="D61" s="41" t="s">
        <v>310</v>
      </c>
      <c r="E61" s="34">
        <v>3</v>
      </c>
      <c r="F61" s="35" t="s">
        <v>58</v>
      </c>
      <c r="G61" s="28" t="s">
        <v>315</v>
      </c>
    </row>
    <row r="62" spans="1:7" x14ac:dyDescent="0.2">
      <c r="A62" s="31" t="s">
        <v>329</v>
      </c>
      <c r="B62" s="42" t="s">
        <v>259</v>
      </c>
      <c r="C62" s="42" t="s">
        <v>214</v>
      </c>
      <c r="D62" s="42" t="s">
        <v>310</v>
      </c>
      <c r="E62" s="34">
        <v>3</v>
      </c>
      <c r="F62" s="35" t="s">
        <v>58</v>
      </c>
      <c r="G62" s="31" t="s">
        <v>330</v>
      </c>
    </row>
    <row r="63" spans="1:7" x14ac:dyDescent="0.2">
      <c r="A63" s="28" t="s">
        <v>331</v>
      </c>
      <c r="B63" s="41" t="s">
        <v>213</v>
      </c>
      <c r="C63" s="41" t="s">
        <v>214</v>
      </c>
      <c r="D63" s="41" t="s">
        <v>310</v>
      </c>
      <c r="E63" s="34">
        <v>3</v>
      </c>
      <c r="F63" s="35" t="s">
        <v>58</v>
      </c>
      <c r="G63" s="28" t="s">
        <v>315</v>
      </c>
    </row>
    <row r="64" spans="1:7" x14ac:dyDescent="0.2">
      <c r="A64" s="31" t="s">
        <v>332</v>
      </c>
      <c r="B64" s="42" t="s">
        <v>259</v>
      </c>
      <c r="C64" s="42" t="s">
        <v>214</v>
      </c>
      <c r="D64" s="42" t="s">
        <v>310</v>
      </c>
      <c r="E64" s="34">
        <v>3</v>
      </c>
      <c r="F64" s="35" t="s">
        <v>58</v>
      </c>
      <c r="G64" s="31" t="s">
        <v>315</v>
      </c>
    </row>
    <row r="65" spans="1:7" x14ac:dyDescent="0.2">
      <c r="A65" s="28" t="s">
        <v>333</v>
      </c>
      <c r="B65" s="41" t="s">
        <v>259</v>
      </c>
      <c r="C65" s="41" t="s">
        <v>214</v>
      </c>
      <c r="D65" s="41" t="s">
        <v>310</v>
      </c>
      <c r="E65" s="34">
        <v>3</v>
      </c>
      <c r="F65" s="35" t="s">
        <v>58</v>
      </c>
      <c r="G65" s="28" t="s">
        <v>315</v>
      </c>
    </row>
    <row r="66" spans="1:7" x14ac:dyDescent="0.2">
      <c r="A66" s="31" t="s">
        <v>334</v>
      </c>
      <c r="B66" s="42" t="s">
        <v>259</v>
      </c>
      <c r="C66" s="42" t="s">
        <v>335</v>
      </c>
      <c r="D66" s="42" t="s">
        <v>310</v>
      </c>
      <c r="E66" s="34">
        <v>3</v>
      </c>
      <c r="F66" s="35" t="s">
        <v>58</v>
      </c>
      <c r="G66" s="31" t="s">
        <v>336</v>
      </c>
    </row>
    <row r="67" spans="1:7" x14ac:dyDescent="0.2">
      <c r="A67" s="28" t="s">
        <v>337</v>
      </c>
      <c r="B67" s="41" t="s">
        <v>259</v>
      </c>
      <c r="C67" s="41" t="s">
        <v>214</v>
      </c>
      <c r="D67" s="41" t="s">
        <v>310</v>
      </c>
      <c r="E67" s="34">
        <v>3</v>
      </c>
      <c r="F67" s="35" t="s">
        <v>58</v>
      </c>
      <c r="G67" s="28" t="s">
        <v>315</v>
      </c>
    </row>
    <row r="68" spans="1:7" x14ac:dyDescent="0.2">
      <c r="A68" s="31" t="s">
        <v>338</v>
      </c>
      <c r="B68" s="42" t="s">
        <v>218</v>
      </c>
      <c r="C68" s="42" t="s">
        <v>214</v>
      </c>
      <c r="D68" s="42" t="s">
        <v>310</v>
      </c>
      <c r="E68" s="34">
        <v>3</v>
      </c>
      <c r="F68" s="35" t="s">
        <v>58</v>
      </c>
      <c r="G68" s="31" t="s">
        <v>339</v>
      </c>
    </row>
    <row r="69" spans="1:7" x14ac:dyDescent="0.2">
      <c r="A69" s="28" t="s">
        <v>340</v>
      </c>
      <c r="B69" s="41" t="s">
        <v>213</v>
      </c>
      <c r="C69" s="41" t="s">
        <v>214</v>
      </c>
      <c r="D69" s="41" t="s">
        <v>310</v>
      </c>
      <c r="E69" s="34">
        <v>3</v>
      </c>
      <c r="F69" s="35" t="s">
        <v>58</v>
      </c>
      <c r="G69" s="28" t="s">
        <v>315</v>
      </c>
    </row>
    <row r="70" spans="1:7" x14ac:dyDescent="0.2">
      <c r="A70" s="31" t="s">
        <v>341</v>
      </c>
      <c r="B70" s="42" t="s">
        <v>254</v>
      </c>
      <c r="C70" s="42" t="s">
        <v>335</v>
      </c>
      <c r="D70" s="42" t="s">
        <v>310</v>
      </c>
      <c r="E70" s="34">
        <v>3</v>
      </c>
      <c r="F70" s="35" t="s">
        <v>58</v>
      </c>
      <c r="G70" s="31" t="s">
        <v>342</v>
      </c>
    </row>
    <row r="71" spans="1:7" x14ac:dyDescent="0.2">
      <c r="A71" s="28" t="s">
        <v>343</v>
      </c>
      <c r="B71" s="41" t="s">
        <v>254</v>
      </c>
      <c r="C71" s="41" t="s">
        <v>335</v>
      </c>
      <c r="D71" s="41" t="s">
        <v>344</v>
      </c>
      <c r="E71" s="36">
        <v>4</v>
      </c>
      <c r="F71" s="37" t="s">
        <v>63</v>
      </c>
      <c r="G71" s="28" t="s">
        <v>345</v>
      </c>
    </row>
    <row r="72" spans="1:7" x14ac:dyDescent="0.2">
      <c r="A72" s="31" t="s">
        <v>346</v>
      </c>
      <c r="B72" s="42" t="s">
        <v>213</v>
      </c>
      <c r="C72" s="42" t="s">
        <v>335</v>
      </c>
      <c r="D72" s="42" t="s">
        <v>344</v>
      </c>
      <c r="E72" s="36">
        <v>4</v>
      </c>
      <c r="F72" s="37" t="s">
        <v>63</v>
      </c>
      <c r="G72" s="31" t="s">
        <v>347</v>
      </c>
    </row>
    <row r="73" spans="1:7" x14ac:dyDescent="0.2">
      <c r="A73" s="28" t="s">
        <v>348</v>
      </c>
      <c r="B73" s="41" t="s">
        <v>213</v>
      </c>
      <c r="C73" s="41" t="s">
        <v>335</v>
      </c>
      <c r="D73" s="41" t="s">
        <v>344</v>
      </c>
      <c r="E73" s="36">
        <v>4</v>
      </c>
      <c r="F73" s="37" t="s">
        <v>63</v>
      </c>
      <c r="G73" s="28" t="s">
        <v>349</v>
      </c>
    </row>
    <row r="74" spans="1:7" x14ac:dyDescent="0.2">
      <c r="A74" s="31" t="s">
        <v>350</v>
      </c>
      <c r="B74" s="42" t="s">
        <v>294</v>
      </c>
      <c r="C74" s="42" t="s">
        <v>214</v>
      </c>
      <c r="D74" s="42" t="s">
        <v>351</v>
      </c>
      <c r="E74" s="36">
        <v>4</v>
      </c>
      <c r="F74" s="37" t="s">
        <v>63</v>
      </c>
      <c r="G74" s="31" t="s">
        <v>352</v>
      </c>
    </row>
    <row r="75" spans="1:7" x14ac:dyDescent="0.2">
      <c r="A75" s="28" t="s">
        <v>353</v>
      </c>
      <c r="B75" s="41" t="s">
        <v>254</v>
      </c>
      <c r="C75" s="41" t="s">
        <v>335</v>
      </c>
      <c r="D75" s="41" t="s">
        <v>344</v>
      </c>
      <c r="E75" s="36">
        <v>4</v>
      </c>
      <c r="F75" s="37" t="s">
        <v>63</v>
      </c>
      <c r="G75" s="28" t="s">
        <v>354</v>
      </c>
    </row>
    <row r="76" spans="1:7" x14ac:dyDescent="0.2">
      <c r="A76" s="31" t="s">
        <v>355</v>
      </c>
      <c r="B76" s="42" t="s">
        <v>220</v>
      </c>
      <c r="C76" s="42" t="s">
        <v>335</v>
      </c>
      <c r="D76" s="42" t="s">
        <v>344</v>
      </c>
      <c r="E76" s="36">
        <v>4</v>
      </c>
      <c r="F76" s="37" t="s">
        <v>63</v>
      </c>
      <c r="G76" s="31" t="s">
        <v>356</v>
      </c>
    </row>
    <row r="77" spans="1:7" x14ac:dyDescent="0.2">
      <c r="A77" s="28" t="s">
        <v>357</v>
      </c>
      <c r="B77" s="41" t="s">
        <v>218</v>
      </c>
      <c r="C77" s="41" t="s">
        <v>335</v>
      </c>
      <c r="D77" s="41" t="s">
        <v>344</v>
      </c>
      <c r="E77" s="36">
        <v>4</v>
      </c>
      <c r="F77" s="37" t="s">
        <v>63</v>
      </c>
      <c r="G77" s="28" t="s">
        <v>358</v>
      </c>
    </row>
    <row r="78" spans="1:7" x14ac:dyDescent="0.2">
      <c r="A78" s="31" t="s">
        <v>359</v>
      </c>
      <c r="B78" s="42" t="s">
        <v>360</v>
      </c>
      <c r="C78" s="42" t="s">
        <v>335</v>
      </c>
      <c r="D78" s="42" t="s">
        <v>344</v>
      </c>
      <c r="E78" s="36">
        <v>4</v>
      </c>
      <c r="F78" s="37" t="s">
        <v>63</v>
      </c>
      <c r="G78" s="31" t="s">
        <v>361</v>
      </c>
    </row>
    <row r="79" spans="1:7" x14ac:dyDescent="0.2">
      <c r="A79" s="28" t="s">
        <v>362</v>
      </c>
      <c r="B79" s="41" t="s">
        <v>259</v>
      </c>
      <c r="C79" s="41" t="s">
        <v>335</v>
      </c>
      <c r="D79" s="41" t="s">
        <v>344</v>
      </c>
      <c r="E79" s="36">
        <v>4</v>
      </c>
      <c r="F79" s="37" t="s">
        <v>63</v>
      </c>
      <c r="G79" s="28" t="s">
        <v>363</v>
      </c>
    </row>
    <row r="80" spans="1:7" x14ac:dyDescent="0.2">
      <c r="A80" s="31" t="s">
        <v>364</v>
      </c>
      <c r="B80" s="42" t="s">
        <v>259</v>
      </c>
      <c r="C80" s="42" t="s">
        <v>335</v>
      </c>
      <c r="D80" s="42" t="s">
        <v>344</v>
      </c>
      <c r="E80" s="36">
        <v>4</v>
      </c>
      <c r="F80" s="37" t="s">
        <v>63</v>
      </c>
      <c r="G80" s="31" t="s">
        <v>365</v>
      </c>
    </row>
    <row r="81" spans="1:7" x14ac:dyDescent="0.2">
      <c r="A81" s="28" t="s">
        <v>366</v>
      </c>
      <c r="B81" s="41" t="s">
        <v>259</v>
      </c>
      <c r="C81" s="41" t="s">
        <v>335</v>
      </c>
      <c r="D81" s="41" t="s">
        <v>344</v>
      </c>
      <c r="E81" s="36">
        <v>4</v>
      </c>
      <c r="F81" s="37" t="s">
        <v>63</v>
      </c>
      <c r="G81" s="28" t="s">
        <v>367</v>
      </c>
    </row>
    <row r="82" spans="1:7" x14ac:dyDescent="0.2">
      <c r="A82" s="31" t="s">
        <v>368</v>
      </c>
      <c r="B82" s="42" t="s">
        <v>259</v>
      </c>
      <c r="C82" s="42" t="s">
        <v>335</v>
      </c>
      <c r="D82" s="42" t="s">
        <v>344</v>
      </c>
      <c r="E82" s="36">
        <v>4</v>
      </c>
      <c r="F82" s="37" t="s">
        <v>63</v>
      </c>
      <c r="G82" s="31" t="s">
        <v>369</v>
      </c>
    </row>
  </sheetData>
  <mergeCells count="1">
    <mergeCell ref="A1:G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0"/>
  <sheetViews>
    <sheetView topLeftCell="A41" zoomScaleNormal="100" workbookViewId="0">
      <selection sqref="A1:F1"/>
    </sheetView>
  </sheetViews>
  <sheetFormatPr baseColWidth="10" defaultColWidth="8.6640625" defaultRowHeight="15" customHeight="1" x14ac:dyDescent="0.2"/>
  <cols>
    <col min="1" max="1" width="5" customWidth="1"/>
    <col min="2" max="2" width="36" customWidth="1"/>
    <col min="3" max="3" width="24" customWidth="1"/>
    <col min="4" max="4" width="60" customWidth="1"/>
    <col min="5" max="5" width="16" customWidth="1"/>
    <col min="6" max="6" width="46" customWidth="1"/>
  </cols>
  <sheetData>
    <row r="1" spans="1:6" x14ac:dyDescent="0.2">
      <c r="A1" s="4" t="s">
        <v>370</v>
      </c>
      <c r="B1" s="4"/>
      <c r="C1" s="4"/>
      <c r="D1" s="4"/>
      <c r="E1" s="4"/>
      <c r="F1" s="4"/>
    </row>
    <row r="2" spans="1:6" x14ac:dyDescent="0.2">
      <c r="A2" s="2" t="s">
        <v>371</v>
      </c>
      <c r="B2" s="2"/>
      <c r="C2" s="2"/>
      <c r="D2" s="2"/>
      <c r="E2" s="2"/>
      <c r="F2" s="2"/>
    </row>
    <row r="4" spans="1:6" x14ac:dyDescent="0.2">
      <c r="A4" s="10" t="s">
        <v>372</v>
      </c>
      <c r="B4" s="10"/>
      <c r="C4" s="10"/>
      <c r="D4" s="10"/>
      <c r="E4" s="10"/>
      <c r="F4" s="10"/>
    </row>
    <row r="5" spans="1:6" x14ac:dyDescent="0.2">
      <c r="A5" s="17" t="s">
        <v>373</v>
      </c>
      <c r="B5" s="17" t="s">
        <v>374</v>
      </c>
      <c r="C5" s="17" t="s">
        <v>375</v>
      </c>
      <c r="D5" s="17" t="s">
        <v>376</v>
      </c>
      <c r="E5" s="17" t="s">
        <v>377</v>
      </c>
      <c r="F5" s="17" t="s">
        <v>378</v>
      </c>
    </row>
    <row r="6" spans="1:6" x14ac:dyDescent="0.2">
      <c r="A6" s="41">
        <v>1</v>
      </c>
      <c r="B6" s="28" t="s">
        <v>379</v>
      </c>
      <c r="C6" s="28" t="s">
        <v>380</v>
      </c>
      <c r="D6" s="28" t="s">
        <v>381</v>
      </c>
      <c r="E6" s="41" t="s">
        <v>382</v>
      </c>
      <c r="F6" s="28" t="s">
        <v>383</v>
      </c>
    </row>
    <row r="7" spans="1:6" x14ac:dyDescent="0.2">
      <c r="A7" s="42">
        <v>2</v>
      </c>
      <c r="B7" s="31"/>
      <c r="C7" s="31" t="s">
        <v>384</v>
      </c>
      <c r="D7" s="31" t="s">
        <v>385</v>
      </c>
      <c r="E7" s="42" t="s">
        <v>386</v>
      </c>
      <c r="F7" s="31" t="s">
        <v>387</v>
      </c>
    </row>
    <row r="8" spans="1:6" x14ac:dyDescent="0.2">
      <c r="A8" s="41">
        <v>3</v>
      </c>
      <c r="B8" s="28"/>
      <c r="C8" s="28" t="s">
        <v>388</v>
      </c>
      <c r="D8" s="28" t="s">
        <v>389</v>
      </c>
      <c r="E8" s="41" t="s">
        <v>390</v>
      </c>
      <c r="F8" s="28" t="s">
        <v>391</v>
      </c>
    </row>
    <row r="9" spans="1:6" x14ac:dyDescent="0.2">
      <c r="A9" s="42">
        <v>4</v>
      </c>
      <c r="B9" s="31" t="s">
        <v>392</v>
      </c>
      <c r="C9" s="31" t="s">
        <v>380</v>
      </c>
      <c r="D9" s="31" t="s">
        <v>393</v>
      </c>
      <c r="E9" s="42" t="s">
        <v>382</v>
      </c>
      <c r="F9" s="31" t="s">
        <v>394</v>
      </c>
    </row>
    <row r="10" spans="1:6" x14ac:dyDescent="0.2">
      <c r="A10" s="41">
        <v>5</v>
      </c>
      <c r="B10" s="28"/>
      <c r="C10" s="28" t="s">
        <v>395</v>
      </c>
      <c r="D10" s="28" t="s">
        <v>396</v>
      </c>
      <c r="E10" s="41" t="s">
        <v>390</v>
      </c>
      <c r="F10" s="28" t="s">
        <v>397</v>
      </c>
    </row>
    <row r="11" spans="1:6" x14ac:dyDescent="0.2">
      <c r="A11" s="42">
        <v>6</v>
      </c>
      <c r="B11" s="31"/>
      <c r="C11" s="31" t="s">
        <v>398</v>
      </c>
      <c r="D11" s="31" t="s">
        <v>399</v>
      </c>
      <c r="E11" s="42" t="s">
        <v>390</v>
      </c>
      <c r="F11" s="31" t="s">
        <v>400</v>
      </c>
    </row>
    <row r="12" spans="1:6" x14ac:dyDescent="0.2">
      <c r="A12" s="41">
        <v>7</v>
      </c>
      <c r="B12" s="28" t="s">
        <v>401</v>
      </c>
      <c r="C12" s="28" t="s">
        <v>380</v>
      </c>
      <c r="D12" s="28" t="s">
        <v>402</v>
      </c>
      <c r="E12" s="41" t="s">
        <v>382</v>
      </c>
      <c r="F12" s="28" t="s">
        <v>394</v>
      </c>
    </row>
    <row r="13" spans="1:6" x14ac:dyDescent="0.2">
      <c r="A13" s="42">
        <v>8</v>
      </c>
      <c r="B13" s="31"/>
      <c r="C13" s="31" t="s">
        <v>403</v>
      </c>
      <c r="D13" s="31" t="s">
        <v>404</v>
      </c>
      <c r="E13" s="42" t="s">
        <v>405</v>
      </c>
      <c r="F13" s="31" t="s">
        <v>406</v>
      </c>
    </row>
    <row r="14" spans="1:6" x14ac:dyDescent="0.2">
      <c r="A14" s="41">
        <v>9</v>
      </c>
      <c r="B14" s="28"/>
      <c r="C14" s="28" t="s">
        <v>388</v>
      </c>
      <c r="D14" s="28" t="s">
        <v>407</v>
      </c>
      <c r="E14" s="41" t="s">
        <v>390</v>
      </c>
      <c r="F14" s="28" t="s">
        <v>408</v>
      </c>
    </row>
    <row r="15" spans="1:6" x14ac:dyDescent="0.2">
      <c r="A15" s="42">
        <v>10</v>
      </c>
      <c r="B15" s="31" t="s">
        <v>409</v>
      </c>
      <c r="C15" s="31" t="s">
        <v>410</v>
      </c>
      <c r="D15" s="31" t="s">
        <v>411</v>
      </c>
      <c r="E15" s="42" t="s">
        <v>386</v>
      </c>
      <c r="F15" s="31" t="s">
        <v>412</v>
      </c>
    </row>
    <row r="16" spans="1:6" x14ac:dyDescent="0.2">
      <c r="A16" s="41">
        <v>11</v>
      </c>
      <c r="B16" s="28"/>
      <c r="C16" s="28" t="s">
        <v>395</v>
      </c>
      <c r="D16" s="28" t="s">
        <v>413</v>
      </c>
      <c r="E16" s="41" t="s">
        <v>386</v>
      </c>
      <c r="F16" s="28" t="s">
        <v>414</v>
      </c>
    </row>
    <row r="17" spans="1:6" x14ac:dyDescent="0.2">
      <c r="A17" s="42">
        <v>12</v>
      </c>
      <c r="B17" s="31"/>
      <c r="C17" s="31" t="s">
        <v>415</v>
      </c>
      <c r="D17" s="31" t="s">
        <v>416</v>
      </c>
      <c r="E17" s="42" t="s">
        <v>417</v>
      </c>
      <c r="F17" s="31" t="s">
        <v>418</v>
      </c>
    </row>
    <row r="18" spans="1:6" x14ac:dyDescent="0.2">
      <c r="A18" s="41">
        <v>13</v>
      </c>
      <c r="B18" s="28" t="s">
        <v>419</v>
      </c>
      <c r="C18" s="28" t="s">
        <v>420</v>
      </c>
      <c r="D18" s="28" t="s">
        <v>421</v>
      </c>
      <c r="E18" s="41" t="s">
        <v>386</v>
      </c>
      <c r="F18" s="28" t="s">
        <v>422</v>
      </c>
    </row>
    <row r="19" spans="1:6" x14ac:dyDescent="0.2">
      <c r="A19" s="42">
        <v>14</v>
      </c>
      <c r="B19" s="31"/>
      <c r="C19" s="31" t="s">
        <v>395</v>
      </c>
      <c r="D19" s="31" t="s">
        <v>423</v>
      </c>
      <c r="E19" s="42" t="s">
        <v>386</v>
      </c>
      <c r="F19" s="31" t="s">
        <v>424</v>
      </c>
    </row>
    <row r="20" spans="1:6" x14ac:dyDescent="0.2">
      <c r="A20" s="41">
        <v>15</v>
      </c>
      <c r="B20" s="28"/>
      <c r="C20" s="28" t="s">
        <v>388</v>
      </c>
      <c r="D20" s="28" t="s">
        <v>425</v>
      </c>
      <c r="E20" s="41" t="s">
        <v>390</v>
      </c>
      <c r="F20" s="28" t="s">
        <v>408</v>
      </c>
    </row>
    <row r="21" spans="1:6" x14ac:dyDescent="0.2">
      <c r="A21" s="42">
        <v>16</v>
      </c>
      <c r="B21" s="31" t="s">
        <v>426</v>
      </c>
      <c r="C21" s="31" t="s">
        <v>427</v>
      </c>
      <c r="D21" s="31" t="s">
        <v>428</v>
      </c>
      <c r="E21" s="42" t="s">
        <v>429</v>
      </c>
      <c r="F21" s="31" t="s">
        <v>430</v>
      </c>
    </row>
    <row r="22" spans="1:6" x14ac:dyDescent="0.2">
      <c r="A22" s="41">
        <v>17</v>
      </c>
      <c r="B22" s="28"/>
      <c r="C22" s="28" t="s">
        <v>380</v>
      </c>
      <c r="D22" s="28" t="s">
        <v>431</v>
      </c>
      <c r="E22" s="41" t="s">
        <v>382</v>
      </c>
      <c r="F22" s="28" t="s">
        <v>432</v>
      </c>
    </row>
    <row r="23" spans="1:6" x14ac:dyDescent="0.2">
      <c r="A23" s="42">
        <v>18</v>
      </c>
      <c r="B23" s="31"/>
      <c r="C23" s="31" t="s">
        <v>433</v>
      </c>
      <c r="D23" s="31" t="s">
        <v>434</v>
      </c>
      <c r="E23" s="42" t="s">
        <v>386</v>
      </c>
      <c r="F23" s="31" t="s">
        <v>435</v>
      </c>
    </row>
    <row r="24" spans="1:6" x14ac:dyDescent="0.2">
      <c r="A24" s="41">
        <v>19</v>
      </c>
      <c r="B24" s="28"/>
      <c r="C24" s="28" t="s">
        <v>395</v>
      </c>
      <c r="D24" s="28" t="s">
        <v>436</v>
      </c>
      <c r="E24" s="41" t="s">
        <v>390</v>
      </c>
      <c r="F24" s="28" t="s">
        <v>437</v>
      </c>
    </row>
    <row r="25" spans="1:6" x14ac:dyDescent="0.2">
      <c r="A25" s="42">
        <v>20</v>
      </c>
      <c r="B25" s="31" t="s">
        <v>438</v>
      </c>
      <c r="C25" s="31" t="s">
        <v>439</v>
      </c>
      <c r="D25" s="31" t="s">
        <v>440</v>
      </c>
      <c r="E25" s="42" t="s">
        <v>441</v>
      </c>
      <c r="F25" s="31" t="s">
        <v>442</v>
      </c>
    </row>
    <row r="26" spans="1:6" x14ac:dyDescent="0.2">
      <c r="A26" s="41">
        <v>21</v>
      </c>
      <c r="B26" s="28"/>
      <c r="C26" s="28" t="s">
        <v>380</v>
      </c>
      <c r="D26" s="28" t="s">
        <v>443</v>
      </c>
      <c r="E26" s="41" t="s">
        <v>382</v>
      </c>
      <c r="F26" s="28" t="s">
        <v>394</v>
      </c>
    </row>
    <row r="27" spans="1:6" x14ac:dyDescent="0.2">
      <c r="A27" s="42">
        <v>22</v>
      </c>
      <c r="B27" s="31"/>
      <c r="C27" s="31" t="s">
        <v>388</v>
      </c>
      <c r="D27" s="31" t="s">
        <v>444</v>
      </c>
      <c r="E27" s="42" t="s">
        <v>390</v>
      </c>
      <c r="F27" s="31" t="s">
        <v>408</v>
      </c>
    </row>
    <row r="28" spans="1:6" x14ac:dyDescent="0.2">
      <c r="A28" s="41">
        <v>23</v>
      </c>
      <c r="B28" s="28"/>
      <c r="C28" s="28" t="s">
        <v>445</v>
      </c>
      <c r="D28" s="28" t="s">
        <v>446</v>
      </c>
      <c r="E28" s="41" t="s">
        <v>386</v>
      </c>
      <c r="F28" s="28" t="s">
        <v>447</v>
      </c>
    </row>
    <row r="29" spans="1:6" x14ac:dyDescent="0.2">
      <c r="A29" s="42">
        <v>24</v>
      </c>
      <c r="B29" s="31" t="s">
        <v>448</v>
      </c>
      <c r="C29" s="31" t="s">
        <v>449</v>
      </c>
      <c r="D29" s="31" t="s">
        <v>450</v>
      </c>
      <c r="E29" s="42" t="s">
        <v>382</v>
      </c>
      <c r="F29" s="31" t="s">
        <v>451</v>
      </c>
    </row>
    <row r="30" spans="1:6" x14ac:dyDescent="0.2">
      <c r="A30" s="41">
        <v>25</v>
      </c>
      <c r="B30" s="28"/>
      <c r="C30" s="28" t="s">
        <v>452</v>
      </c>
      <c r="D30" s="28" t="s">
        <v>453</v>
      </c>
      <c r="E30" s="41" t="s">
        <v>417</v>
      </c>
      <c r="F30" s="28" t="s">
        <v>454</v>
      </c>
    </row>
    <row r="31" spans="1:6" x14ac:dyDescent="0.2">
      <c r="A31" s="42">
        <v>26</v>
      </c>
      <c r="B31" s="31"/>
      <c r="C31" s="31" t="s">
        <v>455</v>
      </c>
      <c r="D31" s="31" t="s">
        <v>456</v>
      </c>
      <c r="E31" s="42" t="s">
        <v>386</v>
      </c>
      <c r="F31" s="31" t="s">
        <v>457</v>
      </c>
    </row>
    <row r="32" spans="1:6" x14ac:dyDescent="0.2">
      <c r="A32" s="41">
        <v>27</v>
      </c>
      <c r="B32" s="28" t="s">
        <v>458</v>
      </c>
      <c r="C32" s="28" t="s">
        <v>459</v>
      </c>
      <c r="D32" s="28" t="s">
        <v>460</v>
      </c>
      <c r="E32" s="41" t="s">
        <v>386</v>
      </c>
      <c r="F32" s="28" t="s">
        <v>461</v>
      </c>
    </row>
    <row r="33" spans="1:6" x14ac:dyDescent="0.2">
      <c r="A33" s="42">
        <v>28</v>
      </c>
      <c r="B33" s="31"/>
      <c r="C33" s="31" t="s">
        <v>462</v>
      </c>
      <c r="D33" s="31" t="s">
        <v>463</v>
      </c>
      <c r="E33" s="42" t="s">
        <v>386</v>
      </c>
      <c r="F33" s="31" t="s">
        <v>464</v>
      </c>
    </row>
    <row r="34" spans="1:6" x14ac:dyDescent="0.2">
      <c r="A34" s="41">
        <v>29</v>
      </c>
      <c r="B34" s="28"/>
      <c r="C34" s="28" t="s">
        <v>465</v>
      </c>
      <c r="D34" s="28" t="s">
        <v>466</v>
      </c>
      <c r="E34" s="41" t="s">
        <v>390</v>
      </c>
      <c r="F34" s="28" t="s">
        <v>391</v>
      </c>
    </row>
    <row r="35" spans="1:6" x14ac:dyDescent="0.2">
      <c r="A35" s="42">
        <v>30</v>
      </c>
      <c r="B35" s="31" t="s">
        <v>467</v>
      </c>
      <c r="C35" s="31" t="s">
        <v>468</v>
      </c>
      <c r="D35" s="31" t="s">
        <v>469</v>
      </c>
      <c r="E35" s="42" t="s">
        <v>390</v>
      </c>
      <c r="F35" s="31" t="s">
        <v>470</v>
      </c>
    </row>
    <row r="36" spans="1:6" x14ac:dyDescent="0.2">
      <c r="A36" s="41">
        <v>31</v>
      </c>
      <c r="B36" s="28"/>
      <c r="C36" s="28" t="s">
        <v>439</v>
      </c>
      <c r="D36" s="28" t="s">
        <v>440</v>
      </c>
      <c r="E36" s="41" t="s">
        <v>441</v>
      </c>
      <c r="F36" s="28" t="s">
        <v>471</v>
      </c>
    </row>
    <row r="37" spans="1:6" x14ac:dyDescent="0.2">
      <c r="A37" s="42">
        <v>32</v>
      </c>
      <c r="B37" s="31"/>
      <c r="C37" s="31" t="s">
        <v>380</v>
      </c>
      <c r="D37" s="31" t="s">
        <v>472</v>
      </c>
      <c r="E37" s="42" t="s">
        <v>382</v>
      </c>
      <c r="F37" s="31" t="s">
        <v>432</v>
      </c>
    </row>
    <row r="38" spans="1:6" x14ac:dyDescent="0.2">
      <c r="A38" s="41">
        <v>33</v>
      </c>
      <c r="B38" s="28" t="s">
        <v>473</v>
      </c>
      <c r="C38" s="28" t="s">
        <v>474</v>
      </c>
      <c r="D38" s="28" t="s">
        <v>475</v>
      </c>
      <c r="E38" s="41" t="s">
        <v>405</v>
      </c>
      <c r="F38" s="28" t="s">
        <v>476</v>
      </c>
    </row>
    <row r="39" spans="1:6" x14ac:dyDescent="0.2">
      <c r="A39" s="42">
        <v>34</v>
      </c>
      <c r="B39" s="31"/>
      <c r="C39" s="31" t="s">
        <v>380</v>
      </c>
      <c r="D39" s="31" t="s">
        <v>477</v>
      </c>
      <c r="E39" s="42" t="s">
        <v>382</v>
      </c>
      <c r="F39" s="31" t="s">
        <v>394</v>
      </c>
    </row>
    <row r="40" spans="1:6" x14ac:dyDescent="0.2">
      <c r="A40" s="41">
        <v>35</v>
      </c>
      <c r="B40" s="28"/>
      <c r="C40" s="28" t="s">
        <v>478</v>
      </c>
      <c r="D40" s="28" t="s">
        <v>479</v>
      </c>
      <c r="E40" s="41" t="s">
        <v>386</v>
      </c>
      <c r="F40" s="28" t="s">
        <v>480</v>
      </c>
    </row>
    <row r="42" spans="1:6" x14ac:dyDescent="0.2">
      <c r="A42" s="10" t="s">
        <v>481</v>
      </c>
      <c r="B42" s="10"/>
      <c r="C42" s="10"/>
      <c r="D42" s="10"/>
      <c r="E42" s="10"/>
      <c r="F42" s="10"/>
    </row>
    <row r="43" spans="1:6" x14ac:dyDescent="0.2">
      <c r="A43" s="17" t="s">
        <v>373</v>
      </c>
      <c r="B43" s="17" t="s">
        <v>374</v>
      </c>
      <c r="C43" s="17" t="s">
        <v>375</v>
      </c>
      <c r="D43" s="17" t="s">
        <v>376</v>
      </c>
      <c r="E43" s="17" t="s">
        <v>377</v>
      </c>
      <c r="F43" s="17" t="s">
        <v>378</v>
      </c>
    </row>
    <row r="44" spans="1:6" x14ac:dyDescent="0.2">
      <c r="A44" s="41">
        <v>36</v>
      </c>
      <c r="B44" s="28" t="s">
        <v>482</v>
      </c>
      <c r="C44" s="28" t="s">
        <v>483</v>
      </c>
      <c r="D44" s="28" t="s">
        <v>484</v>
      </c>
      <c r="E44" s="41" t="s">
        <v>405</v>
      </c>
      <c r="F44" s="28" t="s">
        <v>485</v>
      </c>
    </row>
    <row r="45" spans="1:6" x14ac:dyDescent="0.2">
      <c r="A45" s="42">
        <v>37</v>
      </c>
      <c r="B45" s="31"/>
      <c r="C45" s="31" t="s">
        <v>486</v>
      </c>
      <c r="D45" s="31" t="s">
        <v>487</v>
      </c>
      <c r="E45" s="42" t="s">
        <v>390</v>
      </c>
      <c r="F45" s="31" t="s">
        <v>488</v>
      </c>
    </row>
    <row r="46" spans="1:6" x14ac:dyDescent="0.2">
      <c r="A46" s="41">
        <v>38</v>
      </c>
      <c r="B46" s="28"/>
      <c r="C46" s="28" t="s">
        <v>489</v>
      </c>
      <c r="D46" s="28" t="s">
        <v>490</v>
      </c>
      <c r="E46" s="41" t="s">
        <v>382</v>
      </c>
      <c r="F46" s="28" t="s">
        <v>491</v>
      </c>
    </row>
    <row r="47" spans="1:6" x14ac:dyDescent="0.2">
      <c r="A47" s="42">
        <v>39</v>
      </c>
      <c r="B47" s="31"/>
      <c r="C47" s="31" t="s">
        <v>492</v>
      </c>
      <c r="D47" s="31" t="s">
        <v>493</v>
      </c>
      <c r="E47" s="42" t="s">
        <v>386</v>
      </c>
      <c r="F47" s="31" t="s">
        <v>494</v>
      </c>
    </row>
    <row r="48" spans="1:6" x14ac:dyDescent="0.2">
      <c r="A48" s="41">
        <v>40</v>
      </c>
      <c r="B48" s="28" t="s">
        <v>495</v>
      </c>
      <c r="C48" s="28" t="s">
        <v>439</v>
      </c>
      <c r="D48" s="28" t="s">
        <v>440</v>
      </c>
      <c r="E48" s="41" t="s">
        <v>441</v>
      </c>
      <c r="F48" s="28" t="s">
        <v>442</v>
      </c>
    </row>
    <row r="49" spans="1:6" x14ac:dyDescent="0.2">
      <c r="A49" s="42">
        <v>41</v>
      </c>
      <c r="B49" s="31"/>
      <c r="C49" s="31" t="s">
        <v>489</v>
      </c>
      <c r="D49" s="31" t="s">
        <v>496</v>
      </c>
      <c r="E49" s="42" t="s">
        <v>382</v>
      </c>
      <c r="F49" s="31" t="s">
        <v>497</v>
      </c>
    </row>
    <row r="50" spans="1:6" x14ac:dyDescent="0.2">
      <c r="A50" s="41">
        <v>42</v>
      </c>
      <c r="B50" s="28"/>
      <c r="C50" s="28" t="s">
        <v>388</v>
      </c>
      <c r="D50" s="28" t="s">
        <v>498</v>
      </c>
      <c r="E50" s="41" t="s">
        <v>390</v>
      </c>
      <c r="F50" s="28" t="s">
        <v>408</v>
      </c>
    </row>
    <row r="51" spans="1:6" x14ac:dyDescent="0.2">
      <c r="A51" s="42">
        <v>43</v>
      </c>
      <c r="B51" s="31"/>
      <c r="C51" s="31" t="s">
        <v>398</v>
      </c>
      <c r="D51" s="31" t="s">
        <v>499</v>
      </c>
      <c r="E51" s="42" t="s">
        <v>390</v>
      </c>
      <c r="F51" s="31" t="s">
        <v>500</v>
      </c>
    </row>
    <row r="52" spans="1:6" x14ac:dyDescent="0.2">
      <c r="A52" s="41">
        <v>44</v>
      </c>
      <c r="B52" s="28" t="s">
        <v>501</v>
      </c>
      <c r="C52" s="28" t="s">
        <v>489</v>
      </c>
      <c r="D52" s="28" t="s">
        <v>502</v>
      </c>
      <c r="E52" s="41" t="s">
        <v>382</v>
      </c>
      <c r="F52" s="28" t="s">
        <v>503</v>
      </c>
    </row>
    <row r="53" spans="1:6" x14ac:dyDescent="0.2">
      <c r="A53" s="42">
        <v>45</v>
      </c>
      <c r="B53" s="31"/>
      <c r="C53" s="31" t="s">
        <v>504</v>
      </c>
      <c r="D53" s="31" t="s">
        <v>505</v>
      </c>
      <c r="E53" s="42" t="s">
        <v>386</v>
      </c>
      <c r="F53" s="31" t="s">
        <v>506</v>
      </c>
    </row>
    <row r="54" spans="1:6" x14ac:dyDescent="0.2">
      <c r="A54" s="41">
        <v>46</v>
      </c>
      <c r="B54" s="28" t="s">
        <v>507</v>
      </c>
      <c r="C54" s="28" t="s">
        <v>395</v>
      </c>
      <c r="D54" s="28" t="s">
        <v>508</v>
      </c>
      <c r="E54" s="41" t="s">
        <v>386</v>
      </c>
      <c r="F54" s="28" t="s">
        <v>509</v>
      </c>
    </row>
    <row r="55" spans="1:6" x14ac:dyDescent="0.2">
      <c r="A55" s="42">
        <v>47</v>
      </c>
      <c r="B55" s="31"/>
      <c r="C55" s="31" t="s">
        <v>510</v>
      </c>
      <c r="D55" s="31" t="s">
        <v>511</v>
      </c>
      <c r="E55" s="42" t="s">
        <v>386</v>
      </c>
      <c r="F55" s="31" t="s">
        <v>512</v>
      </c>
    </row>
    <row r="56" spans="1:6" x14ac:dyDescent="0.2">
      <c r="A56" s="41">
        <v>48</v>
      </c>
      <c r="B56" s="28"/>
      <c r="C56" s="28" t="s">
        <v>513</v>
      </c>
      <c r="D56" s="28" t="s">
        <v>514</v>
      </c>
      <c r="E56" s="41" t="s">
        <v>386</v>
      </c>
      <c r="F56" s="28" t="s">
        <v>515</v>
      </c>
    </row>
    <row r="57" spans="1:6" x14ac:dyDescent="0.2">
      <c r="A57" s="42">
        <v>49</v>
      </c>
      <c r="B57" s="31" t="s">
        <v>516</v>
      </c>
      <c r="C57" s="31" t="s">
        <v>439</v>
      </c>
      <c r="D57" s="31" t="s">
        <v>440</v>
      </c>
      <c r="E57" s="42" t="s">
        <v>441</v>
      </c>
      <c r="F57" s="31" t="s">
        <v>517</v>
      </c>
    </row>
    <row r="58" spans="1:6" x14ac:dyDescent="0.2">
      <c r="A58" s="41">
        <v>50</v>
      </c>
      <c r="B58" s="28"/>
      <c r="C58" s="28" t="s">
        <v>380</v>
      </c>
      <c r="D58" s="28" t="s">
        <v>518</v>
      </c>
      <c r="E58" s="41" t="s">
        <v>382</v>
      </c>
      <c r="F58" s="28" t="s">
        <v>394</v>
      </c>
    </row>
    <row r="59" spans="1:6" x14ac:dyDescent="0.2">
      <c r="A59" s="42">
        <v>51</v>
      </c>
      <c r="B59" s="31"/>
      <c r="C59" s="31" t="s">
        <v>519</v>
      </c>
      <c r="D59" s="31" t="s">
        <v>520</v>
      </c>
      <c r="E59" s="42" t="s">
        <v>386</v>
      </c>
      <c r="F59" s="31" t="s">
        <v>521</v>
      </c>
    </row>
    <row r="60" spans="1:6" x14ac:dyDescent="0.2">
      <c r="A60" s="41">
        <v>52</v>
      </c>
      <c r="B60" s="28"/>
      <c r="C60" s="28" t="s">
        <v>522</v>
      </c>
      <c r="D60" s="28" t="s">
        <v>523</v>
      </c>
      <c r="E60" s="41" t="s">
        <v>386</v>
      </c>
      <c r="F60" s="28" t="s">
        <v>524</v>
      </c>
    </row>
  </sheetData>
  <mergeCells count="4">
    <mergeCell ref="A1:F1"/>
    <mergeCell ref="A2:F2"/>
    <mergeCell ref="A4:F4"/>
    <mergeCell ref="A42:F4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5"/>
  <sheetViews>
    <sheetView topLeftCell="A15" zoomScaleNormal="100" workbookViewId="0">
      <selection sqref="A1:G1"/>
    </sheetView>
  </sheetViews>
  <sheetFormatPr baseColWidth="10" defaultColWidth="8.6640625" defaultRowHeight="15" customHeight="1" x14ac:dyDescent="0.2"/>
  <cols>
    <col min="1" max="1" width="5" customWidth="1"/>
    <col min="2" max="2" width="30" customWidth="1"/>
    <col min="3" max="3" width="50" customWidth="1"/>
    <col min="4" max="4" width="40" customWidth="1"/>
    <col min="5" max="6" width="45" customWidth="1"/>
    <col min="7" max="7" width="14" customWidth="1"/>
  </cols>
  <sheetData>
    <row r="1" spans="1:7" ht="16" x14ac:dyDescent="0.2">
      <c r="A1" s="4" t="s">
        <v>525</v>
      </c>
      <c r="B1" s="4"/>
      <c r="C1" s="4"/>
      <c r="D1" s="4"/>
      <c r="E1" s="4"/>
      <c r="F1" s="4"/>
      <c r="G1" s="4"/>
    </row>
    <row r="2" spans="1:7" x14ac:dyDescent="0.2">
      <c r="A2" s="2" t="s">
        <v>526</v>
      </c>
      <c r="B2" s="2"/>
      <c r="C2" s="2"/>
      <c r="D2" s="2"/>
      <c r="E2" s="2"/>
      <c r="F2" s="2"/>
      <c r="G2" s="2"/>
    </row>
    <row r="4" spans="1:7" x14ac:dyDescent="0.2">
      <c r="A4" s="10" t="s">
        <v>527</v>
      </c>
      <c r="B4" s="10"/>
      <c r="C4" s="10"/>
      <c r="D4" s="10"/>
      <c r="E4" s="10"/>
      <c r="F4" s="10"/>
      <c r="G4" s="10"/>
    </row>
    <row r="5" spans="1:7" x14ac:dyDescent="0.2">
      <c r="A5" s="17" t="s">
        <v>373</v>
      </c>
      <c r="B5" s="17" t="s">
        <v>528</v>
      </c>
      <c r="C5" s="17" t="s">
        <v>529</v>
      </c>
      <c r="D5" s="17" t="s">
        <v>530</v>
      </c>
      <c r="E5" s="17" t="s">
        <v>531</v>
      </c>
      <c r="F5" s="17" t="s">
        <v>532</v>
      </c>
      <c r="G5" s="17" t="s">
        <v>533</v>
      </c>
    </row>
    <row r="6" spans="1:7" ht="117" x14ac:dyDescent="0.2">
      <c r="A6" s="41">
        <v>1</v>
      </c>
      <c r="B6" s="38" t="s">
        <v>534</v>
      </c>
      <c r="C6" s="39" t="s">
        <v>535</v>
      </c>
      <c r="D6" s="39" t="s">
        <v>536</v>
      </c>
      <c r="E6" s="39" t="s">
        <v>537</v>
      </c>
      <c r="F6" s="39" t="s">
        <v>538</v>
      </c>
      <c r="G6" s="43" t="s">
        <v>539</v>
      </c>
    </row>
    <row r="7" spans="1:7" ht="104" x14ac:dyDescent="0.2">
      <c r="A7" s="42">
        <v>2</v>
      </c>
      <c r="B7" s="44" t="s">
        <v>540</v>
      </c>
      <c r="C7" s="45" t="s">
        <v>541</v>
      </c>
      <c r="D7" s="45" t="s">
        <v>542</v>
      </c>
      <c r="E7" s="45" t="s">
        <v>543</v>
      </c>
      <c r="F7" s="45" t="s">
        <v>544</v>
      </c>
      <c r="G7" s="46" t="s">
        <v>539</v>
      </c>
    </row>
    <row r="8" spans="1:7" ht="104" x14ac:dyDescent="0.2">
      <c r="A8" s="41">
        <v>3</v>
      </c>
      <c r="B8" s="38" t="s">
        <v>545</v>
      </c>
      <c r="C8" s="39" t="s">
        <v>546</v>
      </c>
      <c r="D8" s="39" t="s">
        <v>547</v>
      </c>
      <c r="E8" s="39" t="s">
        <v>548</v>
      </c>
      <c r="F8" s="39" t="s">
        <v>549</v>
      </c>
      <c r="G8" s="43" t="s">
        <v>539</v>
      </c>
    </row>
    <row r="9" spans="1:7" ht="78" x14ac:dyDescent="0.2">
      <c r="A9" s="42">
        <v>4</v>
      </c>
      <c r="B9" s="44" t="s">
        <v>550</v>
      </c>
      <c r="C9" s="45" t="s">
        <v>551</v>
      </c>
      <c r="D9" s="45" t="s">
        <v>552</v>
      </c>
      <c r="E9" s="45" t="s">
        <v>553</v>
      </c>
      <c r="F9" s="45" t="s">
        <v>554</v>
      </c>
      <c r="G9" s="46" t="s">
        <v>539</v>
      </c>
    </row>
    <row r="10" spans="1:7" ht="104" x14ac:dyDescent="0.2">
      <c r="A10" s="41">
        <v>5</v>
      </c>
      <c r="B10" s="38" t="s">
        <v>555</v>
      </c>
      <c r="C10" s="39" t="s">
        <v>556</v>
      </c>
      <c r="D10" s="39" t="s">
        <v>557</v>
      </c>
      <c r="E10" s="39" t="s">
        <v>558</v>
      </c>
      <c r="F10" s="39" t="s">
        <v>559</v>
      </c>
      <c r="G10" s="43" t="s">
        <v>539</v>
      </c>
    </row>
    <row r="11" spans="1:7" ht="78" x14ac:dyDescent="0.2">
      <c r="A11" s="42">
        <v>6</v>
      </c>
      <c r="B11" s="44" t="s">
        <v>560</v>
      </c>
      <c r="C11" s="45" t="s">
        <v>561</v>
      </c>
      <c r="D11" s="45" t="s">
        <v>562</v>
      </c>
      <c r="E11" s="45" t="s">
        <v>563</v>
      </c>
      <c r="F11" s="45" t="s">
        <v>564</v>
      </c>
      <c r="G11" s="46" t="s">
        <v>539</v>
      </c>
    </row>
    <row r="12" spans="1:7" ht="78" x14ac:dyDescent="0.2">
      <c r="A12" s="41">
        <v>7</v>
      </c>
      <c r="B12" s="38" t="s">
        <v>565</v>
      </c>
      <c r="C12" s="39" t="s">
        <v>566</v>
      </c>
      <c r="D12" s="39" t="s">
        <v>567</v>
      </c>
      <c r="E12" s="39" t="s">
        <v>568</v>
      </c>
      <c r="F12" s="39" t="s">
        <v>569</v>
      </c>
      <c r="G12" s="43" t="s">
        <v>539</v>
      </c>
    </row>
    <row r="13" spans="1:7" ht="78" x14ac:dyDescent="0.2">
      <c r="A13" s="42">
        <v>8</v>
      </c>
      <c r="B13" s="44" t="s">
        <v>570</v>
      </c>
      <c r="C13" s="45" t="s">
        <v>571</v>
      </c>
      <c r="D13" s="45" t="s">
        <v>572</v>
      </c>
      <c r="E13" s="45" t="s">
        <v>573</v>
      </c>
      <c r="F13" s="45" t="s">
        <v>574</v>
      </c>
      <c r="G13" s="46" t="s">
        <v>539</v>
      </c>
    </row>
    <row r="14" spans="1:7" ht="78" x14ac:dyDescent="0.2">
      <c r="A14" s="41">
        <v>9</v>
      </c>
      <c r="B14" s="38" t="s">
        <v>575</v>
      </c>
      <c r="C14" s="39" t="s">
        <v>576</v>
      </c>
      <c r="D14" s="39" t="s">
        <v>577</v>
      </c>
      <c r="E14" s="39" t="s">
        <v>578</v>
      </c>
      <c r="F14" s="39" t="s">
        <v>579</v>
      </c>
      <c r="G14" s="47" t="s">
        <v>580</v>
      </c>
    </row>
    <row r="15" spans="1:7" ht="78" x14ac:dyDescent="0.2">
      <c r="A15" s="42">
        <v>10</v>
      </c>
      <c r="B15" s="44" t="s">
        <v>581</v>
      </c>
      <c r="C15" s="45" t="s">
        <v>582</v>
      </c>
      <c r="D15" s="45" t="s">
        <v>583</v>
      </c>
      <c r="E15" s="45" t="s">
        <v>584</v>
      </c>
      <c r="F15" s="45" t="s">
        <v>585</v>
      </c>
      <c r="G15" s="46" t="s">
        <v>539</v>
      </c>
    </row>
    <row r="16" spans="1:7" x14ac:dyDescent="0.2">
      <c r="A16" s="10" t="s">
        <v>586</v>
      </c>
      <c r="B16" s="10"/>
      <c r="C16" s="10"/>
      <c r="D16" s="10"/>
      <c r="E16" s="10"/>
      <c r="F16" s="10"/>
      <c r="G16" s="10"/>
    </row>
    <row r="18" spans="1:7" x14ac:dyDescent="0.2">
      <c r="A18" s="10" t="s">
        <v>587</v>
      </c>
      <c r="B18" s="10"/>
      <c r="C18" s="10"/>
      <c r="D18" s="10"/>
      <c r="E18" s="10"/>
      <c r="F18" s="10"/>
      <c r="G18" s="10"/>
    </row>
    <row r="20" spans="1:7" ht="15" customHeight="1" x14ac:dyDescent="0.2">
      <c r="A20" s="41" t="s">
        <v>588</v>
      </c>
      <c r="B20" s="38" t="s">
        <v>589</v>
      </c>
      <c r="D20" s="3" t="s">
        <v>590</v>
      </c>
      <c r="E20" s="3"/>
      <c r="F20" s="3"/>
      <c r="G20" s="3"/>
    </row>
    <row r="21" spans="1:7" ht="15" customHeight="1" x14ac:dyDescent="0.2">
      <c r="A21" s="42" t="s">
        <v>591</v>
      </c>
      <c r="B21" s="44" t="s">
        <v>592</v>
      </c>
      <c r="D21" s="1" t="s">
        <v>590</v>
      </c>
      <c r="E21" s="1"/>
      <c r="F21" s="1"/>
      <c r="G21" s="1"/>
    </row>
    <row r="22" spans="1:7" ht="15" customHeight="1" x14ac:dyDescent="0.2">
      <c r="A22" s="41" t="s">
        <v>591</v>
      </c>
      <c r="B22" s="38" t="s">
        <v>593</v>
      </c>
      <c r="D22" s="3" t="s">
        <v>594</v>
      </c>
      <c r="E22" s="3"/>
      <c r="F22" s="3"/>
      <c r="G22" s="3"/>
    </row>
    <row r="23" spans="1:7" ht="22.25" customHeight="1" x14ac:dyDescent="0.2">
      <c r="A23" s="42" t="s">
        <v>591</v>
      </c>
      <c r="B23" s="44" t="s">
        <v>595</v>
      </c>
      <c r="D23" s="1" t="s">
        <v>596</v>
      </c>
      <c r="E23" s="1"/>
      <c r="F23" s="1"/>
      <c r="G23" s="1"/>
    </row>
    <row r="24" spans="1:7" ht="15" customHeight="1" x14ac:dyDescent="0.2">
      <c r="A24" s="41" t="s">
        <v>591</v>
      </c>
      <c r="B24" s="38" t="s">
        <v>597</v>
      </c>
      <c r="D24" s="3" t="s">
        <v>598</v>
      </c>
      <c r="E24" s="3"/>
      <c r="F24" s="3"/>
      <c r="G24" s="3"/>
    </row>
    <row r="25" spans="1:7" ht="15" customHeight="1" x14ac:dyDescent="0.2">
      <c r="A25" s="42" t="s">
        <v>591</v>
      </c>
      <c r="B25" s="44" t="s">
        <v>599</v>
      </c>
      <c r="D25" s="1" t="s">
        <v>590</v>
      </c>
      <c r="E25" s="1"/>
      <c r="F25" s="1"/>
      <c r="G25" s="1"/>
    </row>
    <row r="26" spans="1:7" ht="15" customHeight="1" x14ac:dyDescent="0.2">
      <c r="A26" s="41" t="s">
        <v>591</v>
      </c>
      <c r="B26" s="38" t="s">
        <v>600</v>
      </c>
      <c r="D26" s="3" t="s">
        <v>555</v>
      </c>
      <c r="E26" s="3"/>
      <c r="F26" s="3"/>
      <c r="G26" s="3"/>
    </row>
    <row r="27" spans="1:7" ht="15" customHeight="1" x14ac:dyDescent="0.2">
      <c r="A27" s="42" t="s">
        <v>591</v>
      </c>
      <c r="B27" s="44" t="s">
        <v>601</v>
      </c>
      <c r="D27" s="1" t="s">
        <v>602</v>
      </c>
      <c r="E27" s="1"/>
      <c r="F27" s="1"/>
      <c r="G27" s="1"/>
    </row>
    <row r="28" spans="1:7" ht="15" customHeight="1" x14ac:dyDescent="0.2">
      <c r="A28" s="41" t="s">
        <v>591</v>
      </c>
      <c r="B28" s="38" t="s">
        <v>603</v>
      </c>
      <c r="D28" s="3" t="s">
        <v>604</v>
      </c>
      <c r="E28" s="3"/>
      <c r="F28" s="3"/>
      <c r="G28" s="3"/>
    </row>
    <row r="32" spans="1:7" x14ac:dyDescent="0.2">
      <c r="A32" s="10" t="s">
        <v>605</v>
      </c>
      <c r="B32" s="10"/>
      <c r="C32" s="10"/>
      <c r="D32" s="10"/>
      <c r="E32" s="10"/>
      <c r="F32" s="10"/>
      <c r="G32" s="10"/>
    </row>
    <row r="33" spans="1:7" ht="15" customHeight="1" x14ac:dyDescent="0.2">
      <c r="A33" s="3" t="s">
        <v>606</v>
      </c>
      <c r="B33" s="3"/>
      <c r="C33" s="3"/>
      <c r="D33" s="3"/>
      <c r="E33" s="3"/>
      <c r="F33" s="3"/>
      <c r="G33" s="3"/>
    </row>
    <row r="35" spans="1:7" x14ac:dyDescent="0.2">
      <c r="A35" s="48" t="s">
        <v>607</v>
      </c>
      <c r="B35" s="48"/>
      <c r="C35" s="48"/>
      <c r="D35" s="48"/>
      <c r="E35" s="48"/>
      <c r="F35" s="48"/>
      <c r="G35" s="48"/>
    </row>
  </sheetData>
  <mergeCells count="17">
    <mergeCell ref="A33:G33"/>
    <mergeCell ref="A35:G35"/>
    <mergeCell ref="D25:G25"/>
    <mergeCell ref="D26:G26"/>
    <mergeCell ref="D27:G27"/>
    <mergeCell ref="D28:G28"/>
    <mergeCell ref="A32:G32"/>
    <mergeCell ref="D20:G20"/>
    <mergeCell ref="D21:G21"/>
    <mergeCell ref="D22:G22"/>
    <mergeCell ref="D23:G23"/>
    <mergeCell ref="D24:G24"/>
    <mergeCell ref="A1:G1"/>
    <mergeCell ref="A2:G2"/>
    <mergeCell ref="A4:G4"/>
    <mergeCell ref="A16:G16"/>
    <mergeCell ref="A18:G18"/>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5"/>
  <sheetViews>
    <sheetView tabSelected="1" zoomScaleNormal="100" workbookViewId="0">
      <selection sqref="A1:B1"/>
    </sheetView>
  </sheetViews>
  <sheetFormatPr baseColWidth="10" defaultColWidth="8.6640625" defaultRowHeight="15" customHeight="1" x14ac:dyDescent="0.2"/>
  <cols>
    <col min="1" max="1" width="20" customWidth="1"/>
    <col min="2" max="2" width="100" customWidth="1"/>
  </cols>
  <sheetData>
    <row r="1" spans="1:2" ht="16" x14ac:dyDescent="0.2">
      <c r="A1" s="4" t="s">
        <v>608</v>
      </c>
      <c r="B1" s="4"/>
    </row>
    <row r="2" spans="1:2" x14ac:dyDescent="0.2">
      <c r="A2" s="49" t="s">
        <v>609</v>
      </c>
      <c r="B2" s="49"/>
    </row>
    <row r="4" spans="1:2" x14ac:dyDescent="0.2">
      <c r="A4" s="10" t="s">
        <v>610</v>
      </c>
      <c r="B4" s="10"/>
    </row>
    <row r="5" spans="1:2" ht="22.25" customHeight="1" x14ac:dyDescent="0.2">
      <c r="A5" s="3" t="s">
        <v>611</v>
      </c>
      <c r="B5" s="3"/>
    </row>
    <row r="7" spans="1:2" x14ac:dyDescent="0.2">
      <c r="A7" s="10" t="s">
        <v>612</v>
      </c>
      <c r="B7" s="10"/>
    </row>
    <row r="8" spans="1:2" ht="22.25" customHeight="1" x14ac:dyDescent="0.2">
      <c r="A8" s="3" t="s">
        <v>613</v>
      </c>
      <c r="B8" s="3"/>
    </row>
    <row r="10" spans="1:2" x14ac:dyDescent="0.2">
      <c r="A10" s="10" t="s">
        <v>614</v>
      </c>
      <c r="B10" s="10"/>
    </row>
    <row r="11" spans="1:2" ht="53.75" customHeight="1" x14ac:dyDescent="0.2">
      <c r="A11" s="3" t="s">
        <v>615</v>
      </c>
      <c r="B11" s="3"/>
    </row>
    <row r="13" spans="1:2" x14ac:dyDescent="0.2">
      <c r="A13" s="10" t="s">
        <v>616</v>
      </c>
      <c r="B13" s="10"/>
    </row>
    <row r="14" spans="1:2" ht="126.75" customHeight="1" x14ac:dyDescent="0.2">
      <c r="A14" s="3" t="s">
        <v>617</v>
      </c>
      <c r="B14" s="3"/>
    </row>
    <row r="16" spans="1:2" x14ac:dyDescent="0.2">
      <c r="A16" s="10" t="s">
        <v>618</v>
      </c>
      <c r="B16" s="10"/>
    </row>
    <row r="17" spans="1:2" ht="32.75" customHeight="1" x14ac:dyDescent="0.2">
      <c r="A17" s="3" t="s">
        <v>619</v>
      </c>
      <c r="B17" s="3"/>
    </row>
    <row r="19" spans="1:2" x14ac:dyDescent="0.2">
      <c r="A19" s="10" t="s">
        <v>620</v>
      </c>
      <c r="B19" s="10"/>
    </row>
    <row r="20" spans="1:2" ht="32.75" customHeight="1" x14ac:dyDescent="0.2">
      <c r="A20" s="3" t="s">
        <v>621</v>
      </c>
      <c r="B20" s="3"/>
    </row>
    <row r="22" spans="1:2" x14ac:dyDescent="0.2">
      <c r="A22" s="10" t="s">
        <v>622</v>
      </c>
      <c r="B22" s="10"/>
    </row>
    <row r="23" spans="1:2" ht="53.75" customHeight="1" x14ac:dyDescent="0.2">
      <c r="A23" s="3" t="s">
        <v>623</v>
      </c>
      <c r="B23" s="3"/>
    </row>
    <row r="25" spans="1:2" x14ac:dyDescent="0.2">
      <c r="A25" s="10" t="s">
        <v>624</v>
      </c>
      <c r="B25" s="10"/>
    </row>
    <row r="26" spans="1:2" ht="32.75" customHeight="1" x14ac:dyDescent="0.2">
      <c r="A26" s="3" t="s">
        <v>625</v>
      </c>
      <c r="B26" s="3"/>
    </row>
    <row r="28" spans="1:2" x14ac:dyDescent="0.2">
      <c r="A28" s="10" t="s">
        <v>626</v>
      </c>
      <c r="B28" s="10"/>
    </row>
    <row r="29" spans="1:2" ht="64.25" customHeight="1" x14ac:dyDescent="0.2">
      <c r="A29" s="3" t="s">
        <v>627</v>
      </c>
      <c r="B29" s="3"/>
    </row>
    <row r="31" spans="1:2" x14ac:dyDescent="0.2">
      <c r="A31" s="10" t="s">
        <v>628</v>
      </c>
      <c r="B31" s="10"/>
    </row>
    <row r="32" spans="1:2" ht="53.75" customHeight="1" x14ac:dyDescent="0.2">
      <c r="A32" s="3" t="s">
        <v>629</v>
      </c>
      <c r="B32" s="3"/>
    </row>
    <row r="34" spans="1:2" x14ac:dyDescent="0.2">
      <c r="A34" s="10" t="s">
        <v>630</v>
      </c>
      <c r="B34" s="10"/>
    </row>
    <row r="35" spans="1:2" ht="53.75" customHeight="1" x14ac:dyDescent="0.2">
      <c r="A35" s="3" t="s">
        <v>631</v>
      </c>
      <c r="B35" s="3"/>
    </row>
  </sheetData>
  <mergeCells count="24">
    <mergeCell ref="A31:B31"/>
    <mergeCell ref="A32:B32"/>
    <mergeCell ref="A34:B34"/>
    <mergeCell ref="A35:B35"/>
    <mergeCell ref="A23:B23"/>
    <mergeCell ref="A25:B25"/>
    <mergeCell ref="A26:B26"/>
    <mergeCell ref="A28:B28"/>
    <mergeCell ref="A29:B29"/>
    <mergeCell ref="A16:B16"/>
    <mergeCell ref="A17:B17"/>
    <mergeCell ref="A19:B19"/>
    <mergeCell ref="A20:B20"/>
    <mergeCell ref="A22:B22"/>
    <mergeCell ref="A8:B8"/>
    <mergeCell ref="A10:B10"/>
    <mergeCell ref="A11:B11"/>
    <mergeCell ref="A13:B13"/>
    <mergeCell ref="A14:B14"/>
    <mergeCell ref="A1:B1"/>
    <mergeCell ref="A2:B2"/>
    <mergeCell ref="A4:B4"/>
    <mergeCell ref="A5:B5"/>
    <mergeCell ref="A7:B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Risk Scoring Calculator</vt:lpstr>
      <vt:lpstr>Score Reference</vt:lpstr>
      <vt:lpstr>Country Risk Reference</vt:lpstr>
      <vt:lpstr>AI Verification Checks</vt:lpstr>
      <vt:lpstr>AI Agent Registry</vt:lpstr>
      <vt:lpstr>Methodology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Aisha Sudally</cp:lastModifiedBy>
  <cp:revision>0</cp:revision>
  <dcterms:created xsi:type="dcterms:W3CDTF">2026-03-17T09:34:03Z</dcterms:created>
  <dcterms:modified xsi:type="dcterms:W3CDTF">2026-03-17T09:37:19Z</dcterms:modified>
  <dc:language>en-US</dc:language>
</cp:coreProperties>
</file>