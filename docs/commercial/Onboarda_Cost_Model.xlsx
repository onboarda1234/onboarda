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 Per Application" sheetId="1" state="visible" r:id="rId3"/>
    <sheet name="Volume Proje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<sst xmlns="http://schemas.openxmlformats.org/spreadsheetml/2006/main" count="83" uniqueCount="74">
  <si>
    <t xml:space="preserve">ONBOARDA — Cost Per Application Model</t>
  </si>
  <si>
    <t xml:space="preserve">All costs in USD | Blue values = editable assumptions</t>
  </si>
  <si>
    <t xml:space="preserve">SECTION 1: SUMSUB KYC VERIFICATION COSTS</t>
  </si>
  <si>
    <t xml:space="preserve">Check Type</t>
  </si>
  <si>
    <t xml:space="preserve">Cost/Check ($)</t>
  </si>
  <si>
    <t xml:space="preserve">LOW (2 persons)</t>
  </si>
  <si>
    <t xml:space="preserve">MEDIUM (3 persons)</t>
  </si>
  <si>
    <t xml:space="preserve">HIGH (3 persons)</t>
  </si>
  <si>
    <t xml:space="preserve">VERY HIGH (4 persons)</t>
  </si>
  <si>
    <t xml:space="preserve">Identity Verification (Passport/ID)</t>
  </si>
  <si>
    <t xml:space="preserve">Proof of Address</t>
  </si>
  <si>
    <t xml:space="preserve">AML / PEP Screening</t>
  </si>
  <si>
    <t xml:space="preserve">Face Match (Liveness)</t>
  </si>
  <si>
    <t xml:space="preserve">Sumsub Subtotal</t>
  </si>
  <si>
    <t xml:space="preserve">SECTION 2: AI PROCESSING COSTS (Claude API)</t>
  </si>
  <si>
    <t xml:space="preserve">API Pricing Assumptions</t>
  </si>
  <si>
    <t xml:space="preserve">Sonnet — Input (per 1M tokens)</t>
  </si>
  <si>
    <t xml:space="preserve">Sonnet — Output (per 1M tokens)</t>
  </si>
  <si>
    <t xml:space="preserve">Opus — Input (per 1M tokens)</t>
  </si>
  <si>
    <t xml:space="preserve">Opus — Output (per 1M tokens)</t>
  </si>
  <si>
    <t xml:space="preserve">Pipeline Stage</t>
  </si>
  <si>
    <t xml:space="preserve">Model</t>
  </si>
  <si>
    <t xml:space="preserve">LOW/MEDIUM ($)</t>
  </si>
  <si>
    <t xml:space="preserve">HIGH/V.HIGH ($)</t>
  </si>
  <si>
    <t xml:space="preserve">Agent 1 — Document Verification (×12 docs)</t>
  </si>
  <si>
    <t xml:space="preserve">Sonnet</t>
  </si>
  <si>
    <t xml:space="preserve">Agent 2 — Rule Engine &amp; Risk Assessment</t>
  </si>
  <si>
    <t xml:space="preserve">Agent 3 — Memo Generation</t>
  </si>
  <si>
    <t xml:space="preserve">Sonnet / Opus</t>
  </si>
  <si>
    <t xml:space="preserve">Agent 4 — Validation Engine</t>
  </si>
  <si>
    <t xml:space="preserve">Supervisor — Final Review</t>
  </si>
  <si>
    <t xml:space="preserve">AI Processing Subtotal</t>
  </si>
  <si>
    <t xml:space="preserve">SECTION 3: TOTAL COST PER APPLICATION</t>
  </si>
  <si>
    <t xml:space="preserve">LOW</t>
  </si>
  <si>
    <t xml:space="preserve">MEDIUM</t>
  </si>
  <si>
    <t xml:space="preserve">HIGH</t>
  </si>
  <si>
    <t xml:space="preserve">VERY HIGH</t>
  </si>
  <si>
    <t xml:space="preserve">Sumsub KYC</t>
  </si>
  <si>
    <t xml:space="preserve">AI Processing</t>
  </si>
  <si>
    <t xml:space="preserve">TOTAL COST PER APPLICATION</t>
  </si>
  <si>
    <t xml:space="preserve">SECTION 4: MARGIN ANALYSIS</t>
  </si>
  <si>
    <t xml:space="preserve">Suggested Price to Client (per app)</t>
  </si>
  <si>
    <t xml:space="preserve">Gross Margin (per app)</t>
  </si>
  <si>
    <t xml:space="preserve">Gross Margin %</t>
  </si>
  <si>
    <t xml:space="preserve">Manual Compliance Cost (industry avg)</t>
  </si>
  <si>
    <t xml:space="preserve">Client Savings vs Manual (per app)</t>
  </si>
  <si>
    <t xml:space="preserve">Client Savings %</t>
  </si>
  <si>
    <t xml:space="preserve">ONBOARDA — Monthly Revenue &amp; Cost Projections (Year 1)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</si>
  <si>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</si>
  <si>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</si>
  <si>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</si>
  <si>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</si>
  <si>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</si>
  <si>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</si>
  <si>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</si>
  <si>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</si>
  <si>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</si>
  <si>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</si>
  <si>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</si>
  <si>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</si>
  <si>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Applications Processed</t>
  </si>
  <si>
    <t xml:space="preserve">Blended Avg Cost/App ($)</t>
  </si>
  <si>
    <t xml:space="preserve">Blended Avg Price/App ($)</t>
  </si>
  <si>
    <t xml:space="preserve">Total Variable Cost</t>
  </si>
  <si>
    <t xml:space="preserve">Total Revenue</t>
  </si>
  <si>
    <t xml:space="preserve">Fixed Costs (AWS + Infra)</t>
  </si>
  <si>
    <t xml:space="preserve">Gross Profit</t>
  </si>
  <si>
    <t xml:space="preserve">Cumulative Revenue</t>
  </si>
  <si>
    <t xml:space="preserve">Cumulative Profit</t>
  </si>
  <si>
    <t xml:space="preserve">YEAR 1 TOTALS</t>
  </si>
  <si>
    <t xml:space="preserve">Total Applications</t>
  </si>
  <si>
    <t xml:space="preserve">Total Cost (Variable + Fixed)</t>
  </si>
  <si>
    <t xml:space="preserve">Total Profit</t>
  </si>
  <si>
    <t xml:space="preserve">Overall Margin 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</si>
</sst>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i val="true"/>
      <sz val="10"/>
      <name val="Arial"/>
      <family val="0"/>
      <charset val="1"/>
    </font>
    <font>
      <b val="true"/>
      <sz val="12"/>
      <color rgb="FF0061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1F4E7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1F4E79"/>
        <bgColor rgb="FF003366"/>
      </patternFill>
    </fill>
    <fill>
      <patternFill patternType="solid">
        <fgColor rgb="FFE2EFDA"/>
        <bgColor rgb="FFD6E4F0"/>
      </patternFill>
    </fill>
    <fill>
      <patternFill patternType="solid">
        <fgColor rgb="FFC6EFCE"/>
        <bgColor rgb="FFE2EFDA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2EFDA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5" t="s">
        <v>9</v>
      </c>
      <c r="B6" s="6" t="n">
        <v>1.75</v>
      </c>
      <c r="C6" s="7" t="n">
        <f aca="false">B6*2</f>
        <v>3.5</v>
      </c>
      <c r="D6" s="7" t="n">
        <f aca="false">B6*3</f>
        <v>5.25</v>
      </c>
      <c r="E6" s="7" t="n">
        <f aca="false">B6*3</f>
        <v>5.25</v>
      </c>
      <c r="F6" s="7" t="n">
        <f aca="false">B6*4</f>
        <v>7</v>
      </c>
    </row>
    <row r="7" customFormat="false" ht="15" hidden="false" customHeight="false" outlineLevel="0" collapsed="false">
      <c r="A7" s="5" t="s">
        <v>10</v>
      </c>
      <c r="B7" s="6" t="n">
        <v>0.75</v>
      </c>
      <c r="C7" s="7" t="n">
        <f aca="false">B7*2</f>
        <v>1.5</v>
      </c>
      <c r="D7" s="7" t="n">
        <f aca="false">B7*3</f>
        <v>2.25</v>
      </c>
      <c r="E7" s="7" t="n">
        <f aca="false">B7*3</f>
        <v>2.25</v>
      </c>
      <c r="F7" s="7" t="n">
        <f aca="false">B7*4</f>
        <v>3</v>
      </c>
    </row>
    <row r="8" customFormat="false" ht="15" hidden="false" customHeight="false" outlineLevel="0" collapsed="false">
      <c r="A8" s="5" t="s">
        <v>11</v>
      </c>
      <c r="B8" s="6" t="n">
        <v>0.3</v>
      </c>
      <c r="C8" s="7" t="n">
        <f aca="false">B8*2</f>
        <v>0.6</v>
      </c>
      <c r="D8" s="7" t="n">
        <f aca="false">B8*3</f>
        <v>0.9</v>
      </c>
      <c r="E8" s="7" t="n">
        <f aca="false">B8*3</f>
        <v>0.9</v>
      </c>
      <c r="F8" s="7" t="n">
        <f aca="false">B8*4</f>
        <v>1.2</v>
      </c>
    </row>
    <row r="9" customFormat="false" ht="15" hidden="false" customHeight="false" outlineLevel="0" collapsed="false">
      <c r="A9" s="5" t="s">
        <v>12</v>
      </c>
      <c r="B9" s="6" t="n">
        <v>0.75</v>
      </c>
      <c r="C9" s="7" t="n">
        <f aca="false">B9*2</f>
        <v>1.5</v>
      </c>
      <c r="D9" s="7" t="n">
        <f aca="false">B9*3</f>
        <v>2.25</v>
      </c>
      <c r="E9" s="7" t="n">
        <f aca="false">B9*3</f>
        <v>2.25</v>
      </c>
      <c r="F9" s="7" t="n">
        <f aca="false">B9*4</f>
        <v>3</v>
      </c>
    </row>
    <row r="10" customFormat="false" ht="15" hidden="false" customHeight="false" outlineLevel="0" collapsed="false">
      <c r="A10" s="8" t="s">
        <v>13</v>
      </c>
      <c r="B10" s="8"/>
      <c r="C10" s="9" t="n">
        <f aca="false">SUM(C6:C9)</f>
        <v>7.1</v>
      </c>
      <c r="D10" s="9" t="n">
        <f aca="false">SUM(D6:D9)</f>
        <v>10.65</v>
      </c>
      <c r="E10" s="9" t="n">
        <f aca="false">SUM(E6:E9)</f>
        <v>10.65</v>
      </c>
      <c r="F10" s="9" t="n">
        <f aca="false">SUM(F6:F9)</f>
        <v>14.2</v>
      </c>
    </row>
    <row r="12" customFormat="false" ht="15" hidden="false" customHeight="false" outlineLevel="0" collapsed="false">
      <c r="A12" s="3" t="s">
        <v>14</v>
      </c>
      <c r="B12" s="3"/>
      <c r="C12" s="3"/>
      <c r="D12" s="3"/>
      <c r="E12" s="3"/>
      <c r="F12" s="3"/>
    </row>
    <row r="13" customFormat="false" ht="15" hidden="false" customHeight="false" outlineLevel="0" collapsed="false">
      <c r="A13" s="10" t="s">
        <v>15</v>
      </c>
      <c r="B13" s="10"/>
    </row>
    <row r="14" customFormat="false" ht="15" hidden="false" customHeight="false" outlineLevel="0" collapsed="false">
      <c r="A14" s="5" t="s">
        <v>16</v>
      </c>
      <c r="B14" s="6" t="n">
        <v>3</v>
      </c>
      <c r="C14" s="5"/>
      <c r="D14" s="5"/>
      <c r="E14" s="5"/>
      <c r="F14" s="5"/>
    </row>
    <row r="15" customFormat="false" ht="15" hidden="false" customHeight="false" outlineLevel="0" collapsed="false">
      <c r="A15" s="5" t="s">
        <v>17</v>
      </c>
      <c r="B15" s="6" t="n">
        <v>15</v>
      </c>
      <c r="C15" s="5"/>
      <c r="D15" s="5"/>
      <c r="E15" s="5"/>
      <c r="F15" s="5"/>
    </row>
    <row r="16" customFormat="false" ht="15" hidden="false" customHeight="false" outlineLevel="0" collapsed="false">
      <c r="A16" s="5" t="s">
        <v>18</v>
      </c>
      <c r="B16" s="6" t="n">
        <v>15</v>
      </c>
      <c r="C16" s="5"/>
      <c r="D16" s="5"/>
      <c r="E16" s="5"/>
      <c r="F16" s="5"/>
    </row>
    <row r="17" customFormat="false" ht="15" hidden="false" customHeight="false" outlineLevel="0" collapsed="false">
      <c r="A17" s="5" t="s">
        <v>19</v>
      </c>
      <c r="B17" s="6" t="n">
        <v>75</v>
      </c>
      <c r="C17" s="5"/>
      <c r="D17" s="5"/>
      <c r="E17" s="5"/>
      <c r="F17" s="5"/>
    </row>
    <row r="19" customFormat="false" ht="15" hidden="false" customHeight="false" outlineLevel="0" collapsed="false">
      <c r="A19" s="4" t="s">
        <v>20</v>
      </c>
      <c r="B19" s="4" t="s">
        <v>21</v>
      </c>
      <c r="C19" s="4" t="s">
        <v>22</v>
      </c>
      <c r="D19" s="4" t="s">
        <v>23</v>
      </c>
    </row>
    <row r="20" customFormat="false" ht="15" hidden="false" customHeight="false" outlineLevel="0" collapsed="false">
      <c r="A20" s="5" t="s">
        <v>24</v>
      </c>
      <c r="B20" s="5" t="s">
        <v>25</v>
      </c>
      <c r="C20" s="7" t="n">
        <f aca="false">(24000*B14/1000000)+(6000*B15/1000000)</f>
        <v>0.162</v>
      </c>
      <c r="D20" s="7" t="n">
        <f aca="false">(24000*B14/1000000)+(6000*B15/1000000)</f>
        <v>0.162</v>
      </c>
    </row>
    <row r="21" customFormat="false" ht="15" hidden="false" customHeight="false" outlineLevel="0" collapsed="false">
      <c r="A21" s="5" t="s">
        <v>26</v>
      </c>
      <c r="B21" s="5" t="s">
        <v>25</v>
      </c>
      <c r="C21" s="7" t="n">
        <f aca="false">(4000*B14/1000000)+(2000*B15/1000000)</f>
        <v>0.042</v>
      </c>
      <c r="D21" s="7" t="n">
        <f aca="false">(4000*B14/1000000)+(2000*B15/1000000)</f>
        <v>0.042</v>
      </c>
    </row>
    <row r="22" customFormat="false" ht="15" hidden="false" customHeight="false" outlineLevel="0" collapsed="false">
      <c r="A22" s="5" t="s">
        <v>27</v>
      </c>
      <c r="B22" s="5" t="s">
        <v>28</v>
      </c>
      <c r="C22" s="7" t="n">
        <f aca="false">(6000*B14/1000000)+(4000*B15/1000000)</f>
        <v>0.078</v>
      </c>
      <c r="D22" s="7" t="n">
        <f aca="false">(6000*B16/1000000)+(4000*B17/1000000)</f>
        <v>0.39</v>
      </c>
    </row>
    <row r="23" customFormat="false" ht="15" hidden="false" customHeight="false" outlineLevel="0" collapsed="false">
      <c r="A23" s="5" t="s">
        <v>29</v>
      </c>
      <c r="B23" s="5" t="s">
        <v>25</v>
      </c>
      <c r="C23" s="7" t="n">
        <f aca="false">(8000*B14/1000000)+(2000*B15/1000000)</f>
        <v>0.054</v>
      </c>
      <c r="D23" s="7" t="n">
        <f aca="false">(8000*B14/1000000)+(2000*B15/1000000)</f>
        <v>0.054</v>
      </c>
    </row>
    <row r="24" customFormat="false" ht="15" hidden="false" customHeight="false" outlineLevel="0" collapsed="false">
      <c r="A24" s="5" t="s">
        <v>30</v>
      </c>
      <c r="B24" s="5" t="s">
        <v>28</v>
      </c>
      <c r="C24" s="7" t="n">
        <f aca="false">(10000*B14/1000000)+(3000*B15/1000000)</f>
        <v>0.075</v>
      </c>
      <c r="D24" s="7" t="n">
        <f aca="false">(10000*B16/1000000)+(3000*B17/1000000)</f>
        <v>0.375</v>
      </c>
    </row>
    <row r="25" customFormat="false" ht="15" hidden="false" customHeight="false" outlineLevel="0" collapsed="false">
      <c r="A25" s="8" t="s">
        <v>31</v>
      </c>
      <c r="B25" s="8"/>
      <c r="C25" s="9" t="n">
        <f aca="false">SUM(C20:C24)</f>
        <v>0.411</v>
      </c>
      <c r="D25" s="9" t="n">
        <f aca="false">SUM(D20:D24)</f>
        <v>1.023</v>
      </c>
    </row>
    <row r="27" customFormat="false" ht="15" hidden="false" customHeight="false" outlineLevel="0" collapsed="false">
      <c r="A27" s="3" t="s">
        <v>32</v>
      </c>
      <c r="B27" s="3"/>
      <c r="C27" s="3"/>
      <c r="D27" s="3"/>
      <c r="E27" s="3"/>
      <c r="F27" s="3"/>
    </row>
    <row r="28" customFormat="false" ht="15" hidden="false" customHeight="false" outlineLevel="0" collapsed="false">
      <c r="A28" s="4"/>
      <c r="B28" s="4"/>
      <c r="C28" s="4" t="s">
        <v>33</v>
      </c>
      <c r="D28" s="4" t="s">
        <v>34</v>
      </c>
      <c r="E28" s="4" t="s">
        <v>35</v>
      </c>
      <c r="F28" s="4" t="s">
        <v>36</v>
      </c>
    </row>
    <row r="29" customFormat="false" ht="15" hidden="false" customHeight="false" outlineLevel="0" collapsed="false">
      <c r="A29" s="5" t="s">
        <v>37</v>
      </c>
      <c r="B29" s="5"/>
      <c r="C29" s="7" t="n">
        <f aca="false">C10</f>
        <v>7.1</v>
      </c>
      <c r="D29" s="7" t="n">
        <f aca="false">D10</f>
        <v>10.65</v>
      </c>
      <c r="E29" s="7" t="n">
        <f aca="false">E10</f>
        <v>10.65</v>
      </c>
      <c r="F29" s="7" t="n">
        <f aca="false">F10</f>
        <v>14.2</v>
      </c>
    </row>
    <row r="30" customFormat="false" ht="15" hidden="false" customHeight="false" outlineLevel="0" collapsed="false">
      <c r="A30" s="5" t="s">
        <v>38</v>
      </c>
      <c r="B30" s="5"/>
      <c r="C30" s="7" t="n">
        <f aca="false">C25</f>
        <v>0.411</v>
      </c>
      <c r="D30" s="7" t="n">
        <f aca="false">C25</f>
        <v>0.411</v>
      </c>
      <c r="E30" s="7" t="n">
        <f aca="false">D25</f>
        <v>1.023</v>
      </c>
      <c r="F30" s="7" t="n">
        <f aca="false">D25</f>
        <v>1.023</v>
      </c>
    </row>
    <row r="31" customFormat="false" ht="15" hidden="false" customHeight="false" outlineLevel="0" collapsed="false">
      <c r="A31" s="11" t="s">
        <v>39</v>
      </c>
      <c r="B31" s="11"/>
      <c r="C31" s="12" t="n">
        <f aca="false">C29+C30</f>
        <v>7.511</v>
      </c>
      <c r="D31" s="12" t="n">
        <f aca="false">D29+D30</f>
        <v>11.061</v>
      </c>
      <c r="E31" s="12" t="n">
        <f aca="false">E29+E30</f>
        <v>11.673</v>
      </c>
      <c r="F31" s="12" t="n">
        <f aca="false">F29+F30</f>
        <v>15.223</v>
      </c>
    </row>
    <row r="33" customFormat="false" ht="15" hidden="false" customHeight="false" outlineLevel="0" collapsed="false">
      <c r="A33" s="3" t="s">
        <v>40</v>
      </c>
      <c r="B33" s="3"/>
      <c r="C33" s="3"/>
      <c r="D33" s="3"/>
      <c r="E33" s="3"/>
      <c r="F33" s="3"/>
    </row>
    <row r="34" customFormat="false" ht="15" hidden="false" customHeight="false" outlineLevel="0" collapsed="false">
      <c r="A34" s="4"/>
      <c r="B34" s="4"/>
      <c r="C34" s="4" t="s">
        <v>33</v>
      </c>
      <c r="D34" s="4" t="s">
        <v>34</v>
      </c>
      <c r="E34" s="4" t="s">
        <v>35</v>
      </c>
      <c r="F34" s="4" t="s">
        <v>36</v>
      </c>
    </row>
    <row r="35" customFormat="false" ht="15" hidden="false" customHeight="false" outlineLevel="0" collapsed="false">
      <c r="A35" s="5" t="s">
        <v>41</v>
      </c>
      <c r="B35" s="5"/>
      <c r="C35" s="13" t="n">
        <v>50</v>
      </c>
      <c r="D35" s="13" t="n">
        <v>75</v>
      </c>
      <c r="E35" s="13" t="n">
        <v>100</v>
      </c>
      <c r="F35" s="13" t="n">
        <v>125</v>
      </c>
    </row>
    <row r="36" customFormat="false" ht="15" hidden="false" customHeight="false" outlineLevel="0" collapsed="false">
      <c r="A36" s="5" t="s">
        <v>42</v>
      </c>
      <c r="B36" s="5"/>
      <c r="C36" s="7" t="n">
        <f aca="false">C35-C31</f>
        <v>42.489</v>
      </c>
      <c r="D36" s="7" t="n">
        <f aca="false">D35-D31</f>
        <v>63.939</v>
      </c>
      <c r="E36" s="7" t="n">
        <f aca="false">E35-E31</f>
        <v>88.327</v>
      </c>
      <c r="F36" s="7" t="n">
        <f aca="false">F35-F31</f>
        <v>109.777</v>
      </c>
    </row>
    <row r="37" customFormat="false" ht="15" hidden="false" customHeight="false" outlineLevel="0" collapsed="false">
      <c r="A37" s="5" t="s">
        <v>43</v>
      </c>
      <c r="B37" s="5"/>
      <c r="C37" s="14" t="n">
        <f aca="false">IF(C35&gt;0,C36/C35,0)</f>
        <v>0.84978</v>
      </c>
      <c r="D37" s="14" t="n">
        <f aca="false">IF(D35&gt;0,D36/D35,0)</f>
        <v>0.85252</v>
      </c>
      <c r="E37" s="14" t="n">
        <f aca="false">IF(E35&gt;0,E36/E35,0)</f>
        <v>0.88327</v>
      </c>
      <c r="F37" s="14" t="n">
        <f aca="false">IF(F35&gt;0,F36/F35,0)</f>
        <v>0.878216</v>
      </c>
    </row>
    <row r="39" customFormat="false" ht="15" hidden="false" customHeight="false" outlineLevel="0" collapsed="false">
      <c r="A39" s="5" t="s">
        <v>44</v>
      </c>
      <c r="B39" s="5"/>
      <c r="C39" s="15" t="n">
        <v>250</v>
      </c>
      <c r="D39" s="5"/>
      <c r="E39" s="5"/>
      <c r="F39" s="5"/>
    </row>
    <row r="40" customFormat="false" ht="15" hidden="false" customHeight="false" outlineLevel="0" collapsed="false">
      <c r="A40" s="5" t="s">
        <v>45</v>
      </c>
      <c r="B40" s="5"/>
      <c r="C40" s="7" t="n">
        <f aca="false">$C$39-C35</f>
        <v>200</v>
      </c>
      <c r="D40" s="7" t="n">
        <f aca="false">$C$39-D35</f>
        <v>175</v>
      </c>
      <c r="E40" s="7" t="n">
        <f aca="false">$C$39-E35</f>
        <v>150</v>
      </c>
      <c r="F40" s="7" t="n">
        <f aca="false">$C$39-F35</f>
        <v>125</v>
      </c>
    </row>
    <row r="41" customFormat="false" ht="15" hidden="false" customHeight="false" outlineLevel="0" collapsed="false">
      <c r="A41" s="5" t="s">
        <v>46</v>
      </c>
      <c r="B41" s="5"/>
      <c r="C41" s="14" t="n">
        <f aca="false">IF($C$39&gt;0,C40/$C$39,0)</f>
        <v>0.8</v>
      </c>
      <c r="D41" s="14" t="n">
        <f aca="false">IF($C$39&gt;0,D40/$C$39,0)</f>
        <v>0.7</v>
      </c>
      <c r="E41" s="14" t="n">
        <f aca="false">IF($C$39&gt;0,E40/$C$39,0)</f>
        <v>0.6</v>
      </c>
      <c r="F41" s="14" t="n">
        <f aca="false">IF($C$39&gt;0,F40/$C$39,0)</f>
        <v>0.5</v>
      </c>
    </row>
  </sheetData>
  <mergeCells count="7">
    <mergeCell ref="A1:F1"/>
    <mergeCell ref="A2:F2"/>
    <mergeCell ref="A4:F4"/>
    <mergeCell ref="A12:F12"/>
    <mergeCell ref="A13:B13"/>
    <mergeCell ref="A27:F27"/>
    <mergeCell ref="A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13" min="2" style="0" width="14"/>
  </cols>
  <sheetData>
    <row r="1" customFormat="false" ht="17.35" hidden="false" customHeight="false" outlineLevel="0" collapsed="false">
      <c r="A1" s="1" t="s">
        <v>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15" hidden="false" customHeight="false" outlineLevel="0" collapsed="false">
      <c r="A3" s="16"/>
      <c r="B3" s="16" t="s">
        <v>48</v>
      </c>
      <c r="C3" s="16" t="s">
        <v>49</v>
      </c>
      <c r="D3" s="16" t="s">
        <v>50</v>
      </c>
      <c r="E3" s="16" t="s">
        <v>51</v>
      </c>
      <c r="F3" s="16" t="s">
        <v>52</v>
      </c>
      <c r="G3" s="16" t="s">
        <v>53</v>
      </c>
      <c r="H3" s="16" t="s">
        <v>54</v>
      </c>
      <c r="I3" s="16" t="s">
        <v>55</v>
      </c>
      <c r="J3" s="16" t="s">
        <v>56</v>
      </c>
      <c r="K3" s="16" t="s">
        <v>57</v>
      </c>
      <c r="L3" s="16" t="s">
        <v>58</v>
      </c>
      <c r="M3" s="16" t="s">
        <v>59</v>
      </c>
    </row>
    <row r="4" customFormat="false" ht="15" hidden="false" customHeight="false" outlineLevel="0" collapsed="false">
      <c r="A4" s="0" t="s">
        <v>60</v>
      </c>
      <c r="B4" s="17" t="n">
        <v>10</v>
      </c>
      <c r="C4" s="17" t="n">
        <v>15</v>
      </c>
      <c r="D4" s="17" t="n">
        <v>25</v>
      </c>
      <c r="E4" s="17" t="n">
        <v>40</v>
      </c>
      <c r="F4" s="17" t="n">
        <v>60</v>
      </c>
      <c r="G4" s="17" t="n">
        <v>80</v>
      </c>
      <c r="H4" s="17" t="n">
        <v>100</v>
      </c>
      <c r="I4" s="17" t="n">
        <v>120</v>
      </c>
      <c r="J4" s="17" t="n">
        <v>150</v>
      </c>
      <c r="K4" s="17" t="n">
        <v>180</v>
      </c>
      <c r="L4" s="17" t="n">
        <v>200</v>
      </c>
      <c r="M4" s="17" t="n">
        <v>250</v>
      </c>
    </row>
    <row r="5" customFormat="false" ht="15" hidden="false" customHeight="false" outlineLevel="0" collapsed="false">
      <c r="A5" s="18" t="s">
        <v>61</v>
      </c>
      <c r="B5" s="19" t="n">
        <v>8.5</v>
      </c>
      <c r="C5" s="20" t="n">
        <f aca="false">$B$5</f>
        <v>8.5</v>
      </c>
      <c r="D5" s="20" t="n">
        <f aca="false">$B$5</f>
        <v>8.5</v>
      </c>
      <c r="E5" s="20" t="n">
        <f aca="false">$B$5</f>
        <v>8.5</v>
      </c>
      <c r="F5" s="20" t="n">
        <f aca="false">$B$5</f>
        <v>8.5</v>
      </c>
      <c r="G5" s="20" t="n">
        <f aca="false">$B$5</f>
        <v>8.5</v>
      </c>
      <c r="H5" s="20" t="n">
        <f aca="false">$B$5</f>
        <v>8.5</v>
      </c>
      <c r="I5" s="20" t="n">
        <f aca="false">$B$5</f>
        <v>8.5</v>
      </c>
      <c r="J5" s="20" t="n">
        <f aca="false">$B$5</f>
        <v>8.5</v>
      </c>
      <c r="K5" s="20" t="n">
        <f aca="false">$B$5</f>
        <v>8.5</v>
      </c>
      <c r="L5" s="20" t="n">
        <f aca="false">$B$5</f>
        <v>8.5</v>
      </c>
      <c r="M5" s="20" t="n">
        <f aca="false">$B$5</f>
        <v>8.5</v>
      </c>
    </row>
    <row r="6" customFormat="false" ht="15" hidden="false" customHeight="false" outlineLevel="0" collapsed="false">
      <c r="A6" s="18" t="s">
        <v>62</v>
      </c>
      <c r="B6" s="19" t="n">
        <v>75</v>
      </c>
      <c r="C6" s="20" t="n">
        <f aca="false">$B$6</f>
        <v>75</v>
      </c>
      <c r="D6" s="20" t="n">
        <f aca="false">$B$6</f>
        <v>75</v>
      </c>
      <c r="E6" s="20" t="n">
        <f aca="false">$B$6</f>
        <v>75</v>
      </c>
      <c r="F6" s="20" t="n">
        <f aca="false">$B$6</f>
        <v>75</v>
      </c>
      <c r="G6" s="20" t="n">
        <f aca="false">$B$6</f>
        <v>75</v>
      </c>
      <c r="H6" s="20" t="n">
        <f aca="false">$B$6</f>
        <v>75</v>
      </c>
      <c r="I6" s="20" t="n">
        <f aca="false">$B$6</f>
        <v>75</v>
      </c>
      <c r="J6" s="20" t="n">
        <f aca="false">$B$6</f>
        <v>75</v>
      </c>
      <c r="K6" s="20" t="n">
        <f aca="false">$B$6</f>
        <v>75</v>
      </c>
      <c r="L6" s="20" t="n">
        <f aca="false">$B$6</f>
        <v>75</v>
      </c>
      <c r="M6" s="20" t="n">
        <f aca="false">$B$6</f>
        <v>75</v>
      </c>
    </row>
    <row r="8" customFormat="false" ht="15" hidden="false" customHeight="false" outlineLevel="0" collapsed="false">
      <c r="A8" s="21" t="s">
        <v>63</v>
      </c>
      <c r="B8" s="20" t="n">
        <f aca="false">B4*B5</f>
        <v>85</v>
      </c>
      <c r="C8" s="20" t="n">
        <f aca="false">C4*C5</f>
        <v>127.5</v>
      </c>
      <c r="D8" s="20" t="n">
        <f aca="false">D4*D5</f>
        <v>212.5</v>
      </c>
      <c r="E8" s="20" t="n">
        <f aca="false">E4*E5</f>
        <v>340</v>
      </c>
      <c r="F8" s="20" t="n">
        <f aca="false">F4*F5</f>
        <v>510</v>
      </c>
      <c r="G8" s="20" t="n">
        <f aca="false">G4*G5</f>
        <v>680</v>
      </c>
      <c r="H8" s="20" t="n">
        <f aca="false">H4*H5</f>
        <v>850</v>
      </c>
      <c r="I8" s="20" t="n">
        <f aca="false">I4*I5</f>
        <v>1020</v>
      </c>
      <c r="J8" s="20" t="n">
        <f aca="false">J4*J5</f>
        <v>1275</v>
      </c>
      <c r="K8" s="20" t="n">
        <f aca="false">K4*K5</f>
        <v>1530</v>
      </c>
      <c r="L8" s="20" t="n">
        <f aca="false">L4*L5</f>
        <v>1700</v>
      </c>
      <c r="M8" s="20" t="n">
        <f aca="false">M4*M5</f>
        <v>2125</v>
      </c>
    </row>
    <row r="9" customFormat="false" ht="15" hidden="false" customHeight="false" outlineLevel="0" collapsed="false">
      <c r="A9" s="21" t="s">
        <v>64</v>
      </c>
      <c r="B9" s="20" t="n">
        <f aca="false">B4*B6</f>
        <v>750</v>
      </c>
      <c r="C9" s="20" t="n">
        <f aca="false">C4*C6</f>
        <v>1125</v>
      </c>
      <c r="D9" s="20" t="n">
        <f aca="false">D4*D6</f>
        <v>1875</v>
      </c>
      <c r="E9" s="20" t="n">
        <f aca="false">E4*E6</f>
        <v>3000</v>
      </c>
      <c r="F9" s="20" t="n">
        <f aca="false">F4*F6</f>
        <v>4500</v>
      </c>
      <c r="G9" s="20" t="n">
        <f aca="false">G4*G6</f>
        <v>6000</v>
      </c>
      <c r="H9" s="20" t="n">
        <f aca="false">H4*H6</f>
        <v>7500</v>
      </c>
      <c r="I9" s="20" t="n">
        <f aca="false">I4*I6</f>
        <v>9000</v>
      </c>
      <c r="J9" s="20" t="n">
        <f aca="false">J4*J6</f>
        <v>11250</v>
      </c>
      <c r="K9" s="20" t="n">
        <f aca="false">K4*K6</f>
        <v>13500</v>
      </c>
      <c r="L9" s="20" t="n">
        <f aca="false">L4*L6</f>
        <v>15000</v>
      </c>
      <c r="M9" s="20" t="n">
        <f aca="false">M4*M6</f>
        <v>18750</v>
      </c>
    </row>
    <row r="10" customFormat="false" ht="15" hidden="false" customHeight="false" outlineLevel="0" collapsed="false">
      <c r="A10" s="18" t="s">
        <v>65</v>
      </c>
      <c r="B10" s="19" t="n">
        <v>25</v>
      </c>
      <c r="C10" s="20" t="n">
        <f aca="false">$B$10</f>
        <v>25</v>
      </c>
      <c r="D10" s="20" t="n">
        <f aca="false">$B$10</f>
        <v>25</v>
      </c>
      <c r="E10" s="20" t="n">
        <f aca="false">$B$10</f>
        <v>25</v>
      </c>
      <c r="F10" s="20" t="n">
        <f aca="false">$B$10</f>
        <v>25</v>
      </c>
      <c r="G10" s="20" t="n">
        <f aca="false">$B$10</f>
        <v>25</v>
      </c>
      <c r="H10" s="20" t="n">
        <f aca="false">$B$10</f>
        <v>25</v>
      </c>
      <c r="I10" s="20" t="n">
        <f aca="false">$B$10</f>
        <v>25</v>
      </c>
      <c r="J10" s="20" t="n">
        <f aca="false">$B$10</f>
        <v>25</v>
      </c>
      <c r="K10" s="20" t="n">
        <f aca="false">$B$10</f>
        <v>25</v>
      </c>
      <c r="L10" s="20" t="n">
        <f aca="false">$B$10</f>
        <v>25</v>
      </c>
      <c r="M10" s="20" t="n">
        <f aca="false">$B$10</f>
        <v>25</v>
      </c>
    </row>
    <row r="12" customFormat="false" ht="15" hidden="false" customHeight="false" outlineLevel="0" collapsed="false">
      <c r="A12" s="21" t="s">
        <v>66</v>
      </c>
      <c r="B12" s="22" t="n">
        <f aca="false">B9-B8-B10</f>
        <v>640</v>
      </c>
      <c r="C12" s="22" t="n">
        <f aca="false">C9-C8-C10</f>
        <v>972.5</v>
      </c>
      <c r="D12" s="22" t="n">
        <f aca="false">D9-D8-D10</f>
        <v>1637.5</v>
      </c>
      <c r="E12" s="22" t="n">
        <f aca="false">E9-E8-E10</f>
        <v>2635</v>
      </c>
      <c r="F12" s="22" t="n">
        <f aca="false">F9-F8-F10</f>
        <v>3965</v>
      </c>
      <c r="G12" s="22" t="n">
        <f aca="false">G9-G8-G10</f>
        <v>5295</v>
      </c>
      <c r="H12" s="22" t="n">
        <f aca="false">H9-H8-H10</f>
        <v>6625</v>
      </c>
      <c r="I12" s="22" t="n">
        <f aca="false">I9-I8-I10</f>
        <v>7955</v>
      </c>
      <c r="J12" s="22" t="n">
        <f aca="false">J9-J8-J10</f>
        <v>9950</v>
      </c>
      <c r="K12" s="22" t="n">
        <f aca="false">K9-K8-K10</f>
        <v>11945</v>
      </c>
      <c r="L12" s="22" t="n">
        <f aca="false">L9-L8-L10</f>
        <v>13275</v>
      </c>
      <c r="M12" s="22" t="n">
        <f aca="false">M9-M8-M10</f>
        <v>16600</v>
      </c>
    </row>
    <row r="13" customFormat="false" ht="15" hidden="false" customHeight="false" outlineLevel="0" collapsed="false">
      <c r="A13" s="21" t="s">
        <v>43</v>
      </c>
      <c r="B13" s="23" t="n">
        <f aca="false">IF(B9&gt;0,B12/B9,0)</f>
        <v>0.853333333333333</v>
      </c>
      <c r="C13" s="23" t="n">
        <f aca="false">IF(C9&gt;0,C12/C9,0)</f>
        <v>0.864444444444445</v>
      </c>
      <c r="D13" s="23" t="n">
        <f aca="false">IF(D9&gt;0,D12/D9,0)</f>
        <v>0.873333333333333</v>
      </c>
      <c r="E13" s="23" t="n">
        <f aca="false">IF(E9&gt;0,E12/E9,0)</f>
        <v>0.878333333333333</v>
      </c>
      <c r="F13" s="23" t="n">
        <f aca="false">IF(F9&gt;0,F12/F9,0)</f>
        <v>0.881111111111111</v>
      </c>
      <c r="G13" s="23" t="n">
        <f aca="false">IF(G9&gt;0,G12/G9,0)</f>
        <v>0.8825</v>
      </c>
      <c r="H13" s="23" t="n">
        <f aca="false">IF(H9&gt;0,H12/H9,0)</f>
        <v>0.883333333333333</v>
      </c>
      <c r="I13" s="23" t="n">
        <f aca="false">IF(I9&gt;0,I12/I9,0)</f>
        <v>0.883888888888889</v>
      </c>
      <c r="J13" s="23" t="n">
        <f aca="false">IF(J9&gt;0,J12/J9,0)</f>
        <v>0.884444444444445</v>
      </c>
      <c r="K13" s="23" t="n">
        <f aca="false">IF(K9&gt;0,K12/K9,0)</f>
        <v>0.884814814814815</v>
      </c>
      <c r="L13" s="23" t="n">
        <f aca="false">IF(L9&gt;0,L12/L9,0)</f>
        <v>0.885</v>
      </c>
      <c r="M13" s="23" t="n">
        <f aca="false">IF(M9&gt;0,M12/M9,0)</f>
        <v>0.885333333333333</v>
      </c>
    </row>
    <row r="15" customFormat="false" ht="15" hidden="false" customHeight="false" outlineLevel="0" collapsed="false">
      <c r="A15" s="21" t="s">
        <v>67</v>
      </c>
      <c r="B15" s="24" t="n">
        <f aca="false">B9</f>
        <v>750</v>
      </c>
      <c r="C15" s="24" t="n">
        <f aca="false">B15+C9</f>
        <v>1875</v>
      </c>
      <c r="D15" s="24" t="n">
        <f aca="false">C15+D9</f>
        <v>3750</v>
      </c>
      <c r="E15" s="24" t="n">
        <f aca="false">D15+E9</f>
        <v>6750</v>
      </c>
      <c r="F15" s="24" t="n">
        <f aca="false">E15+F9</f>
        <v>11250</v>
      </c>
      <c r="G15" s="24" t="n">
        <f aca="false">F15+G9</f>
        <v>17250</v>
      </c>
      <c r="H15" s="24" t="n">
        <f aca="false">G15+H9</f>
        <v>24750</v>
      </c>
      <c r="I15" s="24" t="n">
        <f aca="false">H15+I9</f>
        <v>33750</v>
      </c>
      <c r="J15" s="24" t="n">
        <f aca="false">I15+J9</f>
        <v>45000</v>
      </c>
      <c r="K15" s="24" t="n">
        <f aca="false">J15+K9</f>
        <v>58500</v>
      </c>
      <c r="L15" s="24" t="n">
        <f aca="false">K15+L9</f>
        <v>73500</v>
      </c>
      <c r="M15" s="24" t="n">
        <f aca="false">L15+M9</f>
        <v>92250</v>
      </c>
    </row>
    <row r="16" customFormat="false" ht="15" hidden="false" customHeight="false" outlineLevel="0" collapsed="false">
      <c r="A16" s="21" t="s">
        <v>68</v>
      </c>
      <c r="B16" s="24" t="n">
        <f aca="false">B12</f>
        <v>640</v>
      </c>
      <c r="C16" s="24" t="n">
        <f aca="false">B16+C12</f>
        <v>1612.5</v>
      </c>
      <c r="D16" s="24" t="n">
        <f aca="false">C16+D12</f>
        <v>3250</v>
      </c>
      <c r="E16" s="24" t="n">
        <f aca="false">D16+E12</f>
        <v>5885</v>
      </c>
      <c r="F16" s="24" t="n">
        <f aca="false">E16+F12</f>
        <v>9850</v>
      </c>
      <c r="G16" s="24" t="n">
        <f aca="false">F16+G12</f>
        <v>15145</v>
      </c>
      <c r="H16" s="24" t="n">
        <f aca="false">G16+H12</f>
        <v>21770</v>
      </c>
      <c r="I16" s="24" t="n">
        <f aca="false">H16+I12</f>
        <v>29725</v>
      </c>
      <c r="J16" s="24" t="n">
        <f aca="false">I16+J12</f>
        <v>39675</v>
      </c>
      <c r="K16" s="24" t="n">
        <f aca="false">J16+K12</f>
        <v>51620</v>
      </c>
      <c r="L16" s="24" t="n">
        <f aca="false">K16+L12</f>
        <v>64895</v>
      </c>
      <c r="M16" s="24" t="n">
        <f aca="false">L16+M12</f>
        <v>81495</v>
      </c>
    </row>
    <row r="18" customFormat="false" ht="15" hidden="false" customHeight="false" outlineLevel="0" collapsed="false">
      <c r="A18" s="25" t="s">
        <v>69</v>
      </c>
    </row>
    <row r="19" customFormat="false" ht="15" hidden="false" customHeight="false" outlineLevel="0" collapsed="false">
      <c r="A19" s="0" t="s">
        <v>70</v>
      </c>
      <c r="B19" s="26" t="n">
        <f aca="false">SUM(B4:M4)</f>
        <v>1230</v>
      </c>
    </row>
    <row r="20" customFormat="false" ht="15" hidden="false" customHeight="false" outlineLevel="0" collapsed="false">
      <c r="A20" s="0" t="s">
        <v>64</v>
      </c>
      <c r="B20" s="27" t="n">
        <f aca="false">SUM(B9:M9)</f>
        <v>92250</v>
      </c>
    </row>
    <row r="21" customFormat="false" ht="15" hidden="false" customHeight="false" outlineLevel="0" collapsed="false">
      <c r="A21" s="0" t="s">
        <v>71</v>
      </c>
      <c r="B21" s="20" t="n">
        <f aca="false">SUM(B8:M8)+SUM(B10:M10)</f>
        <v>10755</v>
      </c>
    </row>
    <row r="22" customFormat="false" ht="15" hidden="false" customHeight="false" outlineLevel="0" collapsed="false">
      <c r="A22" s="0" t="s">
        <v>72</v>
      </c>
      <c r="B22" s="22" t="n">
        <f aca="false">B20-B21</f>
        <v>81495</v>
      </c>
    </row>
    <row r="23" customFormat="false" ht="15" hidden="false" customHeight="false" outlineLevel="0" collapsed="false">
      <c r="A23" s="0" t="s">
        <v>73</v>
      </c>
      <c r="B23" s="28" t="n">
        <f aca="false">IF(B20&gt;0,B22/B20,0)</f>
        <v>0.883414634146342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2026-03-23T10:29:31Z</dcterms:created>
  <dc:creator>openpyxl</dc:creator>
  <dc:description/>
  <dc:language>en-US</dc:language>
  <cp:lastModifiedBy/>
  <dcterms:modified xsi:type="dcterms:W3CDTF">2026-03-23T10:29:31Z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