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amp; Approval" sheetId="1" state="visible" r:id="rId1"/>
    <sheet name="Model_Summary" sheetId="2" state="visible" r:id="rId2"/>
    <sheet name="Sub_Criteria" sheetId="3" state="visible" r:id="rId3"/>
    <sheet name="Calculator" sheetId="4" state="visible" r:id="rId4"/>
    <sheet name="Worked_Example" sheetId="5" state="visible" r:id="rId5"/>
    <sheet name="Map_Sector" sheetId="6" state="visible" r:id="rId6"/>
    <sheet name="Map_Country" sheetId="7" state="visible" r:id="rId7"/>
    <sheet name="Map_Other" sheetId="8" state="visible" r:id="rId8"/>
    <sheet name="Floors_Elevations" sheetId="9" state="visible" r:id="rId9"/>
    <sheet name="Approval_Routes" sheetId="10" state="visible" r:id="rId10"/>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12">
    <font>
      <name val="Calibri"/>
      <family val="2"/>
      <color theme="1"/>
      <sz val="11"/>
      <scheme val="minor"/>
    </font>
    <font>
      <name val="Arial"/>
      <b val="1"/>
      <color rgb="001F3864"/>
      <sz val="14"/>
    </font>
    <font>
      <name val="Arial"/>
      <i val="1"/>
      <color rgb="00595959"/>
      <sz val="11"/>
    </font>
    <font>
      <name val="Arial"/>
      <b val="1"/>
      <color rgb="00FFFFFF"/>
      <sz val="10"/>
    </font>
    <font>
      <name val="Arial"/>
      <b val="1"/>
      <sz val="10"/>
    </font>
    <font>
      <name val="Arial"/>
      <sz val="10"/>
    </font>
    <font>
      <name val="Arial"/>
      <i val="1"/>
      <color rgb="00595959"/>
      <sz val="9"/>
    </font>
    <font>
      <name val="Arial"/>
      <color rgb="000000FF"/>
      <sz val="10"/>
    </font>
    <font>
      <name val="Arial"/>
      <b val="1"/>
      <color rgb="001F3864"/>
      <sz val="10"/>
    </font>
    <font>
      <name val="Arial"/>
      <i val="1"/>
      <color rgb="00595959"/>
      <sz val="10"/>
    </font>
    <font>
      <name val="Arial"/>
      <b val="1"/>
      <color rgb="000000FF"/>
      <sz val="10"/>
    </font>
    <font>
      <name val="Arial"/>
      <b val="1"/>
      <color rgb="00C00000"/>
      <sz val="12"/>
    </font>
  </fonts>
  <fills count="8">
    <fill>
      <patternFill/>
    </fill>
    <fill>
      <patternFill patternType="gray125"/>
    </fill>
    <fill>
      <patternFill patternType="solid">
        <fgColor rgb="001F3864"/>
      </patternFill>
    </fill>
    <fill>
      <patternFill patternType="solid">
        <fgColor rgb="00D9E2F3"/>
      </patternFill>
    </fill>
    <fill>
      <patternFill patternType="solid">
        <fgColor rgb="00FFFF99"/>
      </patternFill>
    </fill>
    <fill>
      <patternFill patternType="solid">
        <fgColor rgb="00F8CBAD"/>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3" borderId="1" pivotButton="0" quotePrefix="0" xfId="0"/>
    <xf numFmtId="0" fontId="5" fillId="0" borderId="1" pivotButton="0" quotePrefix="0" xfId="0"/>
    <xf numFmtId="0" fontId="6" fillId="0" borderId="1" pivotButton="0" quotePrefix="0" xfId="0"/>
    <xf numFmtId="0" fontId="7" fillId="4" borderId="1" pivotButton="0" quotePrefix="0" xfId="0"/>
    <xf numFmtId="0" fontId="6" fillId="0" borderId="0" pivotButton="0" quotePrefix="0" xfId="0"/>
    <xf numFmtId="0" fontId="3" fillId="2" borderId="1" applyAlignment="1" pivotButton="0" quotePrefix="0" xfId="0">
      <alignment horizontal="center" vertical="center" wrapText="1"/>
    </xf>
    <xf numFmtId="0" fontId="4" fillId="0" borderId="1" pivotButton="0" quotePrefix="0" xfId="0"/>
    <xf numFmtId="9" fontId="5" fillId="0" borderId="1" applyAlignment="1" pivotButton="0" quotePrefix="0" xfId="0">
      <alignment horizontal="center" vertical="center" wrapText="1"/>
    </xf>
    <xf numFmtId="9" fontId="4" fillId="3" borderId="1" applyAlignment="1" pivotButton="0" quotePrefix="0" xfId="0">
      <alignment horizontal="center" vertical="center" wrapText="1"/>
    </xf>
    <xf numFmtId="0" fontId="6" fillId="3" borderId="1" pivotButton="0" quotePrefix="0" xfId="0"/>
    <xf numFmtId="0" fontId="0" fillId="0" borderId="4" pivotButton="0" quotePrefix="0" xfId="0"/>
    <xf numFmtId="0" fontId="0" fillId="0" borderId="5" pivotButton="0" quotePrefix="0" xfId="0"/>
    <xf numFmtId="0" fontId="8" fillId="0" borderId="0" pivotButton="0" quotePrefix="0" xfId="0"/>
    <xf numFmtId="0" fontId="5" fillId="0" borderId="1" applyAlignment="1" pivotButton="0" quotePrefix="0" xfId="0">
      <alignment horizontal="center" vertical="center" wrapText="1"/>
    </xf>
    <xf numFmtId="0" fontId="9" fillId="0" borderId="0" pivotButton="0" quotePrefix="0" xfId="0"/>
    <xf numFmtId="0" fontId="10" fillId="4" borderId="1" applyAlignment="1" pivotButton="0" quotePrefix="0" xfId="0">
      <alignment horizontal="center" vertical="center" wrapText="1"/>
    </xf>
    <xf numFmtId="164" fontId="5" fillId="0" borderId="1" applyAlignment="1" pivotButton="0" quotePrefix="0" xfId="0">
      <alignment horizontal="center" vertical="center" wrapText="1"/>
    </xf>
    <xf numFmtId="2" fontId="4" fillId="0" borderId="1" applyAlignment="1" pivotButton="0" quotePrefix="0" xfId="0">
      <alignment horizontal="center" vertical="center" wrapText="1"/>
    </xf>
    <xf numFmtId="164"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pivotButton="0" quotePrefix="0" xfId="0"/>
    <xf numFmtId="0" fontId="5" fillId="5" borderId="1" applyAlignment="1" pivotButton="0" quotePrefix="0" xfId="0">
      <alignment horizontal="center" vertical="center" wrapText="1"/>
    </xf>
    <xf numFmtId="0" fontId="4" fillId="6" borderId="1" pivotButton="0" quotePrefix="0" xfId="0"/>
    <xf numFmtId="0" fontId="5" fillId="6" borderId="1" pivotButton="0" quotePrefix="0" xfId="0"/>
    <xf numFmtId="0" fontId="5" fillId="3" borderId="1" pivotButton="0" quotePrefix="0" xfId="0"/>
    <xf numFmtId="0" fontId="5" fillId="7" borderId="1" pivotButton="0" quotePrefix="0" xfId="0"/>
    <xf numFmtId="0" fontId="4" fillId="7" borderId="1" pivotButton="0" quotePrefix="0" xfId="0"/>
    <xf numFmtId="165" fontId="4" fillId="7" borderId="1" applyAlignment="1" pivotButton="0" quotePrefix="0" xfId="0">
      <alignment horizontal="center" vertical="center" wrapText="1"/>
    </xf>
    <xf numFmtId="0" fontId="6" fillId="7" borderId="1" pivotButton="0" quotePrefix="0" xfId="0"/>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62" customWidth="1" min="2" max="2"/>
    <col width="30" customWidth="1" min="3" max="3"/>
  </cols>
  <sheetData>
    <row r="1">
      <c r="A1" s="1" t="inlineStr">
        <is>
          <t>RegMind — Risk Scoring Model</t>
        </is>
      </c>
    </row>
    <row r="2">
      <c r="A2" s="2" t="inlineStr">
        <is>
          <t>Compliance approval record and independent verification template</t>
        </is>
      </c>
    </row>
    <row r="4">
      <c r="A4" s="3" t="inlineStr">
        <is>
          <t>MODEL IDENTITY</t>
        </is>
      </c>
      <c r="B4" s="3" t="inlineStr"/>
      <c r="C4" s="3" t="inlineStr">
        <is>
          <t>Source / note</t>
        </is>
      </c>
    </row>
    <row r="5">
      <c r="A5" s="4" t="inlineStr">
        <is>
          <t>Model name</t>
        </is>
      </c>
      <c r="B5" s="5" t="inlineStr">
        <is>
          <t>RegMind 5-Dimension Weighted Risk Scoring Model</t>
        </is>
      </c>
      <c r="C5" s="6" t="inlineStr"/>
    </row>
    <row r="6">
      <c r="A6" s="4" t="inlineStr">
        <is>
          <t>Controlled-value registry</t>
        </is>
      </c>
      <c r="B6" s="5" t="inlineStr">
        <is>
          <t>rsmp-tier0a-v1</t>
        </is>
      </c>
      <c r="C6" s="6" t="inlineStr">
        <is>
          <t>risk_controlled_values.REGISTRY_VERSION</t>
        </is>
      </c>
    </row>
    <row r="7">
      <c r="A7" s="4" t="inlineStr">
        <is>
          <t>Dimensions</t>
        </is>
      </c>
      <c r="B7" s="5" t="inlineStr">
        <is>
          <t>5 (D1-D5)</t>
        </is>
      </c>
      <c r="C7" s="6" t="inlineStr"/>
    </row>
    <row r="8">
      <c r="A8" s="4" t="inlineStr">
        <is>
          <t>Scored sub-criteria</t>
        </is>
      </c>
      <c r="B8" s="5" t="inlineStr">
        <is>
          <t>17</t>
        </is>
      </c>
      <c r="C8" s="6" t="inlineStr"/>
    </row>
    <row r="9">
      <c r="A9" s="4" t="inlineStr">
        <is>
          <t>Score range per factor</t>
        </is>
      </c>
      <c r="B9" s="5" t="inlineStr">
        <is>
          <t>1 (lowest risk) to 4 (highest risk)</t>
        </is>
      </c>
      <c r="C9" s="6" t="inlineStr"/>
    </row>
    <row r="10">
      <c r="A10" s="4" t="inlineStr">
        <is>
          <t>Composite range</t>
        </is>
      </c>
      <c r="B10" s="5" t="inlineStr">
        <is>
          <t>0 - 100</t>
        </is>
      </c>
      <c r="C10" s="6" t="inlineStr"/>
    </row>
    <row r="11">
      <c r="A11" s="4" t="inlineStr">
        <is>
          <t>Source of this template</t>
        </is>
      </c>
      <c r="B11" s="5" t="inlineStr">
        <is>
          <t>Generated from the runtime engine (rule_engine.py) and the seeded risk_config</t>
        </is>
      </c>
      <c r="C11" s="6" t="inlineStr"/>
    </row>
    <row r="13">
      <c r="A13" s="4" t="inlineStr">
        <is>
          <t>Active configuration version</t>
        </is>
      </c>
      <c r="B13" s="7" t="n"/>
      <c r="C13" s="6" t="inlineStr">
        <is>
          <t>Paste from Technical provenance, e.g. risk_config:2026-07-17 11:16:03.481284</t>
        </is>
      </c>
    </row>
    <row r="14">
      <c r="A14" s="4" t="inlineStr">
        <is>
          <t>Environment</t>
        </is>
      </c>
      <c r="B14" s="7" t="n"/>
      <c r="C14" s="6" t="inlineStr">
        <is>
          <t>staging / production</t>
        </is>
      </c>
    </row>
    <row r="15">
      <c r="A15" s="4" t="inlineStr">
        <is>
          <t>Date of this record</t>
        </is>
      </c>
      <c r="B15" s="7" t="n"/>
      <c r="C15" s="6" t="inlineStr">
        <is>
          <t>YYYY-MM-DD</t>
        </is>
      </c>
    </row>
    <row r="17">
      <c r="A17" s="3" t="inlineStr">
        <is>
          <t>APPROVAL</t>
        </is>
      </c>
      <c r="B17" s="3" t="inlineStr"/>
      <c r="C17" s="3" t="inlineStr"/>
    </row>
    <row r="18" ht="28" customHeight="1">
      <c r="A18" s="8" t="inlineStr">
        <is>
          <t>By signing, the approver confirms the dimension weights, sub-criteria weights, controlled-value score maps, thresholds, floor rules and approval routes in this workbook are the approved model.</t>
        </is>
      </c>
    </row>
    <row r="19">
      <c r="A19" s="4" t="inlineStr">
        <is>
          <t>Prepared by</t>
        </is>
      </c>
      <c r="B19" s="7" t="n"/>
      <c r="C19" s="6" t="inlineStr">
        <is>
          <t>Name / signature / date</t>
        </is>
      </c>
    </row>
    <row r="20">
      <c r="A20" s="4" t="inlineStr">
        <is>
          <t>Reviewed by (Compliance)</t>
        </is>
      </c>
      <c r="B20" s="7" t="n"/>
      <c r="C20" s="6" t="inlineStr">
        <is>
          <t>Name / signature / date</t>
        </is>
      </c>
    </row>
    <row r="21">
      <c r="A21" s="4" t="inlineStr">
        <is>
          <t>Approved by (Head of Compliance / SCO)</t>
        </is>
      </c>
      <c r="B21" s="7" t="n"/>
      <c r="C21" s="6" t="inlineStr">
        <is>
          <t>Name / signature / date</t>
        </is>
      </c>
    </row>
    <row r="23">
      <c r="A23" s="3" t="inlineStr">
        <is>
          <t>HOW TO USE THIS WORKBOOK</t>
        </is>
      </c>
      <c r="B23" s="3" t="inlineStr"/>
      <c r="C23" s="3" t="inlineStr"/>
    </row>
    <row r="24">
      <c r="A24" s="4" t="inlineStr">
        <is>
          <t>Yellow cells with blue text</t>
        </is>
      </c>
      <c r="B24" s="5" t="inlineStr">
        <is>
          <t>The only cells you fill in. Everything else is fixed model data or a formula.</t>
        </is>
      </c>
      <c r="C24" s="5" t="inlineStr"/>
    </row>
    <row r="25">
      <c r="A25" s="4" t="inlineStr">
        <is>
          <t>Calculator</t>
        </is>
      </c>
      <c r="B25" s="5" t="inlineStr">
        <is>
          <t>Enter 17 factor scores; the composite, tier and approval route compute automatically. Use this to check any case by hand.</t>
        </is>
      </c>
      <c r="C25" s="5" t="inlineStr"/>
    </row>
    <row r="26">
      <c r="A26" s="4" t="inlineStr">
        <is>
          <t>Map- sheets</t>
        </is>
      </c>
      <c r="B26" s="5" t="inlineStr">
        <is>
          <t>The approved score for every controlled value. Look a value up here to get the factor score.</t>
        </is>
      </c>
      <c r="C26" s="5" t="inlineStr"/>
    </row>
    <row r="27">
      <c r="A27" s="4" t="inlineStr">
        <is>
          <t>Worked Example</t>
        </is>
      </c>
      <c r="B27" s="5" t="inlineStr">
        <is>
          <t>A case reconciled against the live engine, so you can confirm the template matches production.</t>
        </is>
      </c>
      <c r="C27" s="5" t="inlineStr"/>
    </row>
  </sheetData>
  <mergeCells count="1">
    <mergeCell ref="A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18" topLeftCell="A19" activePane="bottomLeft" state="frozen"/>
      <selection pane="bottomLeft" activeCell="A1" sqref="A1"/>
    </sheetView>
  </sheetViews>
  <sheetFormatPr baseColWidth="8" defaultRowHeight="15"/>
  <cols>
    <col width="10" customWidth="1" min="1" max="1"/>
    <col width="34" customWidth="1" min="2" max="2"/>
    <col width="12" customWidth="1" min="3" max="3"/>
    <col width="62" customWidth="1" min="4" max="4"/>
  </cols>
  <sheetData>
    <row r="1">
      <c r="A1" s="1" t="inlineStr">
        <is>
          <t>Dimensions and weights</t>
        </is>
      </c>
    </row>
    <row r="3">
      <c r="A3" s="9" t="inlineStr">
        <is>
          <t>ID</t>
        </is>
      </c>
      <c r="B3" s="9" t="inlineStr">
        <is>
          <t>Dimension</t>
        </is>
      </c>
      <c r="C3" s="9" t="inlineStr">
        <is>
          <t>Weight</t>
        </is>
      </c>
      <c r="D3" s="9" t="inlineStr">
        <is>
          <t>What it measures</t>
        </is>
      </c>
    </row>
    <row r="4">
      <c r="A4" s="10" t="inlineStr">
        <is>
          <t>D1</t>
        </is>
      </c>
      <c r="B4" s="5" t="inlineStr">
        <is>
          <t>Customer / Entity Risk</t>
        </is>
      </c>
      <c r="C4" s="11" t="n">
        <v>0.3</v>
      </c>
      <c r="D4" s="5" t="inlineStr">
        <is>
          <t>Entity type, ownership transparency, PEP status, adverse media, source of wealth and funds</t>
        </is>
      </c>
    </row>
    <row r="5">
      <c r="A5" s="10" t="inlineStr">
        <is>
          <t>D2</t>
        </is>
      </c>
      <c r="B5" s="5" t="inlineStr">
        <is>
          <t>Geographic Risk</t>
        </is>
      </c>
      <c r="C5" s="11" t="n">
        <v>0.25</v>
      </c>
      <c r="D5" s="5" t="inlineStr">
        <is>
          <t>Incorporation country, UBO/director nationalities, intermediary jurisdictions, operating countries, target markets</t>
        </is>
      </c>
    </row>
    <row r="6">
      <c r="A6" s="10" t="inlineStr">
        <is>
          <t>D3</t>
        </is>
      </c>
      <c r="B6" s="5" t="inlineStr">
        <is>
          <t>Product / Service Risk</t>
        </is>
      </c>
      <c r="C6" s="11" t="n">
        <v>0.2</v>
      </c>
      <c r="D6" s="5" t="inlineStr">
        <is>
          <t>Services selected, monthly volume, transaction complexity</t>
        </is>
      </c>
    </row>
    <row r="7">
      <c r="A7" s="10" t="inlineStr">
        <is>
          <t>D4</t>
        </is>
      </c>
      <c r="B7" s="5" t="inlineStr">
        <is>
          <t>Industry / Sector Risk</t>
        </is>
      </c>
      <c r="C7" s="11" t="n">
        <v>0.15</v>
      </c>
      <c r="D7" s="5" t="inlineStr">
        <is>
          <t>Industry sector</t>
        </is>
      </c>
    </row>
    <row r="8">
      <c r="A8" s="10" t="inlineStr">
        <is>
          <t>D5</t>
        </is>
      </c>
      <c r="B8" s="5" t="inlineStr">
        <is>
          <t>Delivery Channel Risk</t>
        </is>
      </c>
      <c r="C8" s="11" t="n">
        <v>0.1</v>
      </c>
      <c r="D8" s="5" t="inlineStr">
        <is>
          <t>Introduction method, delivery channel</t>
        </is>
      </c>
    </row>
    <row r="9">
      <c r="B9" s="4" t="inlineStr">
        <is>
          <t>Total</t>
        </is>
      </c>
      <c r="C9" s="12">
        <f>SUM(C4:C8)</f>
        <v/>
      </c>
      <c r="D9" s="13" t="inlineStr">
        <is>
          <t>Must equal 100%</t>
        </is>
      </c>
    </row>
    <row r="11">
      <c r="A11" s="4" t="inlineStr">
        <is>
          <t>Composite formula</t>
        </is>
      </c>
      <c r="B11" s="14" t="n"/>
      <c r="C11" s="14" t="n"/>
      <c r="D11" s="15" t="n"/>
    </row>
    <row r="12">
      <c r="A12" s="16" t="inlineStr">
        <is>
          <t>Dimension score  =  SUM( factor score x sub-criteria weight )        [each dimension lands between 1.00 and 4.00]</t>
        </is>
      </c>
    </row>
    <row r="13">
      <c r="A13" s="16" t="inlineStr">
        <is>
          <t>Weighted average =  SUM( dimension score x dimension weight )</t>
        </is>
      </c>
    </row>
    <row r="14">
      <c r="A14" s="16" t="inlineStr">
        <is>
          <t>Composite score  =  ( weighted average - 1 ) / 3 x 100                        [maps 1.00-4.00 onto 0-100]</t>
        </is>
      </c>
    </row>
    <row r="15" ht="26" customHeight="1">
      <c r="A15" s="8" t="inlineStr">
        <is>
          <t>Verified against the live engine: dimensions 1.6 / 1.6 / 1.75 / 2.0 / 1.5 give a weighted average of 1.6800, and (1.68-1)/3x100 = 22.7 — identical to the score rule_engine.compute_risk_score returns for the same inputs.</t>
        </is>
      </c>
    </row>
    <row r="17">
      <c r="A17" s="4" t="inlineStr">
        <is>
          <t>Risk tiers</t>
        </is>
      </c>
      <c r="B17" s="14" t="n"/>
      <c r="C17" s="14" t="n"/>
      <c r="D17" s="15" t="n"/>
    </row>
    <row r="18">
      <c r="A18" s="9" t="inlineStr">
        <is>
          <t>Tier</t>
        </is>
      </c>
      <c r="B18" s="9" t="inlineStr">
        <is>
          <t>From</t>
        </is>
      </c>
      <c r="C18" s="9" t="inlineStr">
        <is>
          <t>To</t>
        </is>
      </c>
      <c r="D18" s="9" t="inlineStr">
        <is>
          <t>Approval route</t>
        </is>
      </c>
    </row>
    <row r="19">
      <c r="A19" s="10" t="inlineStr">
        <is>
          <t>LOW</t>
        </is>
      </c>
      <c r="B19" s="17" t="n">
        <v>0</v>
      </c>
      <c r="C19" s="17" t="n">
        <v>39.9</v>
      </c>
      <c r="D19" s="5" t="inlineStr">
        <is>
          <t>direct_low_medium — Onboarding Officer</t>
        </is>
      </c>
    </row>
    <row r="20">
      <c r="A20" s="10" t="inlineStr">
        <is>
          <t>MEDIUM</t>
        </is>
      </c>
      <c r="B20" s="17" t="n">
        <v>40</v>
      </c>
      <c r="C20" s="17" t="n">
        <v>54.9</v>
      </c>
      <c r="D20" s="5" t="inlineStr">
        <is>
          <t>compliance_required — Compliance / SCO</t>
        </is>
      </c>
    </row>
    <row r="21">
      <c r="A21" s="10" t="inlineStr">
        <is>
          <t>HIGH</t>
        </is>
      </c>
      <c r="B21" s="17" t="n">
        <v>55</v>
      </c>
      <c r="C21" s="17" t="n">
        <v>69.90000000000001</v>
      </c>
      <c r="D21" s="5" t="inlineStr">
        <is>
          <t>dual_control_required — SCO + Admin</t>
        </is>
      </c>
    </row>
    <row r="22">
      <c r="A22" s="10" t="inlineStr">
        <is>
          <t>VERY_HIGH</t>
        </is>
      </c>
      <c r="B22" s="17" t="n">
        <v>70</v>
      </c>
      <c r="C22" s="17" t="n">
        <v>100</v>
      </c>
      <c r="D22" s="5" t="inlineStr">
        <is>
          <t>dual_control_required — SCO + Admin</t>
        </is>
      </c>
    </row>
  </sheetData>
  <mergeCells count="6">
    <mergeCell ref="A17:D17"/>
    <mergeCell ref="A12:D12"/>
    <mergeCell ref="A15:D15"/>
    <mergeCell ref="A11:D11"/>
    <mergeCell ref="A13:D13"/>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12" customWidth="1" min="3" max="3"/>
    <col width="14" customWidth="1" min="4" max="4"/>
    <col width="46" customWidth="1" min="5" max="5"/>
  </cols>
  <sheetData>
    <row r="1">
      <c r="A1" s="1" t="inlineStr">
        <is>
          <t>The 17 scored sub-criteria</t>
        </is>
      </c>
    </row>
    <row r="3">
      <c r="A3" s="9" t="inlineStr">
        <is>
          <t>Dim</t>
        </is>
      </c>
      <c r="B3" s="9" t="inlineStr">
        <is>
          <t>Sub-criteria</t>
        </is>
      </c>
      <c r="C3" s="9" t="inlineStr">
        <is>
          <t>Weight in dim</t>
        </is>
      </c>
      <c r="D3" s="9" t="inlineStr">
        <is>
          <t>Multi-value rule</t>
        </is>
      </c>
      <c r="E3" s="9" t="inlineStr">
        <is>
          <t>Source of the score</t>
        </is>
      </c>
    </row>
    <row r="4">
      <c r="A4" s="10" t="inlineStr">
        <is>
          <t>D1</t>
        </is>
      </c>
      <c r="B4" s="5" t="inlineStr">
        <is>
          <t>Entity Type</t>
        </is>
      </c>
      <c r="C4" s="11" t="n">
        <v>0.2</v>
      </c>
      <c r="D4" s="5" t="inlineStr">
        <is>
          <t>single</t>
        </is>
      </c>
      <c r="E4" s="5" t="inlineStr">
        <is>
          <t>Map_Other — entity_type</t>
        </is>
      </c>
    </row>
    <row r="5">
      <c r="A5" s="10" t="inlineStr">
        <is>
          <t>D1</t>
        </is>
      </c>
      <c r="B5" s="5" t="inlineStr">
        <is>
          <t>Ownership Structure</t>
        </is>
      </c>
      <c r="C5" s="11" t="n">
        <v>0.2</v>
      </c>
      <c r="D5" s="5" t="inlineStr">
        <is>
          <t>single</t>
        </is>
      </c>
      <c r="E5" s="5" t="inlineStr">
        <is>
          <t>Map_Other — ownership</t>
        </is>
      </c>
    </row>
    <row r="6">
      <c r="A6" s="10" t="inlineStr">
        <is>
          <t>D1</t>
        </is>
      </c>
      <c r="B6" s="5" t="inlineStr">
        <is>
          <t>PEP Status</t>
        </is>
      </c>
      <c r="C6" s="11" t="n">
        <v>0.25</v>
      </c>
      <c r="D6" s="5" t="inlineStr">
        <is>
          <t>MAX across parties</t>
        </is>
      </c>
      <c r="E6" s="5" t="inlineStr">
        <is>
          <t>Declared PEP on any director/UBO</t>
        </is>
      </c>
    </row>
    <row r="7">
      <c r="A7" s="10" t="inlineStr">
        <is>
          <t>D1</t>
        </is>
      </c>
      <c r="B7" s="5" t="inlineStr">
        <is>
          <t>Adverse Media</t>
        </is>
      </c>
      <c r="C7" s="11" t="n">
        <v>0.15</v>
      </c>
      <c r="D7" s="5" t="inlineStr">
        <is>
          <t>MAX</t>
        </is>
      </c>
      <c r="E7" s="5" t="inlineStr">
        <is>
          <t>Screening result</t>
        </is>
      </c>
    </row>
    <row r="8">
      <c r="A8" s="10" t="inlineStr">
        <is>
          <t>D1</t>
        </is>
      </c>
      <c r="B8" s="5" t="inlineStr">
        <is>
          <t>Source of Wealth</t>
        </is>
      </c>
      <c r="C8" s="11" t="n">
        <v>0.1</v>
      </c>
      <c r="D8" s="5" t="inlineStr">
        <is>
          <t>single</t>
        </is>
      </c>
      <c r="E8" s="5" t="inlineStr">
        <is>
          <t>Assessed value</t>
        </is>
      </c>
    </row>
    <row r="9">
      <c r="A9" s="10" t="inlineStr">
        <is>
          <t>D1</t>
        </is>
      </c>
      <c r="B9" s="5" t="inlineStr">
        <is>
          <t>Source of Funds</t>
        </is>
      </c>
      <c r="C9" s="11" t="n">
        <v>0.1</v>
      </c>
      <c r="D9" s="5" t="inlineStr">
        <is>
          <t>single</t>
        </is>
      </c>
      <c r="E9" s="5" t="inlineStr">
        <is>
          <t>Assessed value</t>
        </is>
      </c>
    </row>
    <row r="10">
      <c r="A10" s="10" t="inlineStr">
        <is>
          <t>D2</t>
        </is>
      </c>
      <c r="B10" s="5" t="inlineStr">
        <is>
          <t>Country of Incorporation</t>
        </is>
      </c>
      <c r="C10" s="11" t="n">
        <v>0.25</v>
      </c>
      <c r="D10" s="5" t="inlineStr">
        <is>
          <t>single</t>
        </is>
      </c>
      <c r="E10" s="5" t="inlineStr">
        <is>
          <t>Map_Country</t>
        </is>
      </c>
    </row>
    <row r="11">
      <c r="A11" s="10" t="inlineStr">
        <is>
          <t>D2</t>
        </is>
      </c>
      <c r="B11" s="5" t="inlineStr">
        <is>
          <t>UBO / Director Nationalities</t>
        </is>
      </c>
      <c r="C11" s="11" t="n">
        <v>0.2</v>
      </c>
      <c r="D11" s="5" t="inlineStr">
        <is>
          <t>MAX across all directors AND UBOs</t>
        </is>
      </c>
      <c r="E11" s="5" t="inlineStr">
        <is>
          <t>Map_Country (nationality mapped to country)</t>
        </is>
      </c>
    </row>
    <row r="12">
      <c r="A12" s="10" t="inlineStr">
        <is>
          <t>D2</t>
        </is>
      </c>
      <c r="B12" s="5" t="inlineStr">
        <is>
          <t>Intermediary Shareholder Jurisdictions</t>
        </is>
      </c>
      <c r="C12" s="11" t="n">
        <v>0.2</v>
      </c>
      <c r="D12" s="5" t="inlineStr">
        <is>
          <t>MAX across intermediaries; secrecy jurisdictions forced to 4</t>
        </is>
      </c>
      <c r="E12" s="5" t="inlineStr">
        <is>
          <t>Map_Country + secrecy list</t>
        </is>
      </c>
    </row>
    <row r="13">
      <c r="A13" s="10" t="inlineStr">
        <is>
          <t>D2</t>
        </is>
      </c>
      <c r="B13" s="5" t="inlineStr">
        <is>
          <t>Countries of Operation</t>
        </is>
      </c>
      <c r="C13" s="11" t="n">
        <v>0.2</v>
      </c>
      <c r="D13" s="5" t="inlineStr">
        <is>
          <t>MAX across the list</t>
        </is>
      </c>
      <c r="E13" s="5" t="inlineStr">
        <is>
          <t>Map_Country</t>
        </is>
      </c>
    </row>
    <row r="14">
      <c r="A14" s="10" t="inlineStr">
        <is>
          <t>D2</t>
        </is>
      </c>
      <c r="B14" s="5" t="inlineStr">
        <is>
          <t>Target Markets</t>
        </is>
      </c>
      <c r="C14" s="11" t="n">
        <v>0.15</v>
      </c>
      <c r="D14" s="5" t="inlineStr">
        <is>
          <t>MAX across the list</t>
        </is>
      </c>
      <c r="E14" s="5" t="inlineStr">
        <is>
          <t>Map_Country</t>
        </is>
      </c>
    </row>
    <row r="15">
      <c r="A15" s="10" t="inlineStr">
        <is>
          <t>D3</t>
        </is>
      </c>
      <c r="B15" s="5" t="inlineStr">
        <is>
          <t>Service Type</t>
        </is>
      </c>
      <c r="C15" s="11" t="n">
        <v>0.4</v>
      </c>
      <c r="D15" s="5" t="inlineStr">
        <is>
          <t>MAX across all selected services</t>
        </is>
      </c>
      <c r="E15" s="5" t="inlineStr">
        <is>
          <t>Approved service risk table</t>
        </is>
      </c>
    </row>
    <row r="16">
      <c r="A16" s="10" t="inlineStr">
        <is>
          <t>D3</t>
        </is>
      </c>
      <c r="B16" s="5" t="inlineStr">
        <is>
          <t>Monthly Volume</t>
        </is>
      </c>
      <c r="C16" s="11" t="n">
        <v>0.35</v>
      </c>
      <c r="D16" s="5" t="inlineStr">
        <is>
          <t>single</t>
        </is>
      </c>
      <c r="E16" s="5" t="inlineStr">
        <is>
          <t>Map_Other — monthly_volume</t>
        </is>
      </c>
    </row>
    <row r="17">
      <c r="A17" s="10" t="inlineStr">
        <is>
          <t>D3</t>
        </is>
      </c>
      <c r="B17" s="5" t="inlineStr">
        <is>
          <t>Transaction Complexity</t>
        </is>
      </c>
      <c r="C17" s="11" t="n">
        <v>0.25</v>
      </c>
      <c r="D17" s="5" t="inlineStr">
        <is>
          <t>single</t>
        </is>
      </c>
      <c r="E17" s="5" t="inlineStr">
        <is>
          <t>Map_Other — complexity</t>
        </is>
      </c>
    </row>
    <row r="18">
      <c r="A18" s="10" t="inlineStr">
        <is>
          <t>D4</t>
        </is>
      </c>
      <c r="B18" s="5" t="inlineStr">
        <is>
          <t>Industry Sector</t>
        </is>
      </c>
      <c r="C18" s="11" t="n">
        <v>1</v>
      </c>
      <c r="D18" s="5" t="inlineStr">
        <is>
          <t>single</t>
        </is>
      </c>
      <c r="E18" s="5" t="inlineStr">
        <is>
          <t>Map_Sector</t>
        </is>
      </c>
    </row>
    <row r="19">
      <c r="A19" s="10" t="inlineStr">
        <is>
          <t>D5</t>
        </is>
      </c>
      <c r="B19" s="5" t="inlineStr">
        <is>
          <t>Introduction Method</t>
        </is>
      </c>
      <c r="C19" s="11" t="n">
        <v>0.5</v>
      </c>
      <c r="D19" s="5" t="inlineStr">
        <is>
          <t>single</t>
        </is>
      </c>
      <c r="E19" s="5" t="inlineStr">
        <is>
          <t>Map_Other — introduction</t>
        </is>
      </c>
    </row>
    <row r="20">
      <c r="A20" s="10" t="inlineStr">
        <is>
          <t>D5</t>
        </is>
      </c>
      <c r="B20" s="5" t="inlineStr">
        <is>
          <t>Delivery Channel</t>
        </is>
      </c>
      <c r="C20" s="11" t="n">
        <v>0.5</v>
      </c>
      <c r="D20" s="5" t="inlineStr">
        <is>
          <t>single</t>
        </is>
      </c>
      <c r="E20" s="5" t="inlineStr">
        <is>
          <t>Assessed value</t>
        </is>
      </c>
    </row>
    <row r="22" ht="26" customHeight="1">
      <c r="A22" s="8" t="inlineStr">
        <is>
          <t>MAX, not average: where a factor accepts several values the highest-risk one sets the score. Adding further low-risk jurisdictions never dilutes a high-risk one.</t>
        </is>
      </c>
    </row>
    <row r="23" ht="26" customHeight="1">
      <c r="A23" s="8" t="inlineStr">
        <is>
          <t>Empty lists: Countries of Operation and Target Markets fall back to the incorporation country's score; UBO nationalities and intermediary jurisdictions fall back to 1. A blank field is therefore treated as low risk, not as unknown.</t>
        </is>
      </c>
    </row>
  </sheetData>
  <mergeCells count="2">
    <mergeCell ref="A22:E22"/>
    <mergeCell ref="A23:E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4" topLeftCell="A5" activePane="bottomLeft" state="frozen"/>
      <selection pane="bottomLeft" activeCell="A1" sqref="A1"/>
    </sheetView>
  </sheetViews>
  <sheetFormatPr baseColWidth="8" defaultRowHeight="15"/>
  <cols>
    <col width="8" customWidth="1" min="1" max="1"/>
    <col width="36" customWidth="1" min="2" max="2"/>
    <col width="11" customWidth="1" min="3" max="3"/>
    <col width="13" customWidth="1" min="4" max="4"/>
    <col width="15" customWidth="1" min="5" max="5"/>
    <col width="44" customWidth="1" min="6" max="6"/>
  </cols>
  <sheetData>
    <row r="1">
      <c r="A1" s="1" t="inlineStr">
        <is>
          <t>Independent risk score verification</t>
        </is>
      </c>
    </row>
    <row r="2">
      <c r="A2" s="18" t="inlineStr">
        <is>
          <t>Enter a score of 1-4 for each of the 17 sub-criteria in the yellow cells. Everything else calculates.</t>
        </is>
      </c>
    </row>
    <row r="4">
      <c r="A4" s="9" t="inlineStr">
        <is>
          <t>Dim</t>
        </is>
      </c>
      <c r="B4" s="9" t="inlineStr">
        <is>
          <t>Sub-criteria</t>
        </is>
      </c>
      <c r="C4" s="9" t="inlineStr">
        <is>
          <t>Weight</t>
        </is>
      </c>
      <c r="D4" s="9" t="inlineStr">
        <is>
          <t>Score (1-4)</t>
        </is>
      </c>
      <c r="E4" s="9" t="inlineStr">
        <is>
          <t>Weighted</t>
        </is>
      </c>
      <c r="F4" s="9" t="inlineStr">
        <is>
          <t>Where to find the score</t>
        </is>
      </c>
    </row>
    <row r="5">
      <c r="A5" s="10" t="inlineStr">
        <is>
          <t>D1</t>
        </is>
      </c>
      <c r="B5" s="5" t="inlineStr">
        <is>
          <t>Entity Type</t>
        </is>
      </c>
      <c r="C5" s="11" t="n">
        <v>0.2</v>
      </c>
      <c r="D5" s="19" t="n">
        <v>2</v>
      </c>
      <c r="E5" s="20">
        <f>IF(D5="",0,C5*D5)</f>
        <v/>
      </c>
      <c r="F5" s="6" t="inlineStr">
        <is>
          <t>Map_Other — entity_type</t>
        </is>
      </c>
    </row>
    <row r="6">
      <c r="A6" s="10" t="inlineStr">
        <is>
          <t>D1</t>
        </is>
      </c>
      <c r="B6" s="5" t="inlineStr">
        <is>
          <t>Ownership Structure</t>
        </is>
      </c>
      <c r="C6" s="11" t="n">
        <v>0.2</v>
      </c>
      <c r="D6" s="19" t="n">
        <v>1</v>
      </c>
      <c r="E6" s="20">
        <f>IF(D6="",0,C6*D6)</f>
        <v/>
      </c>
      <c r="F6" s="6" t="inlineStr">
        <is>
          <t>Map_Other — ownership</t>
        </is>
      </c>
    </row>
    <row r="7">
      <c r="A7" s="10" t="inlineStr">
        <is>
          <t>D1</t>
        </is>
      </c>
      <c r="B7" s="5" t="inlineStr">
        <is>
          <t>PEP Status</t>
        </is>
      </c>
      <c r="C7" s="11" t="n">
        <v>0.25</v>
      </c>
      <c r="D7" s="19" t="n">
        <v>1</v>
      </c>
      <c r="E7" s="20">
        <f>IF(D7="",0,C7*D7)</f>
        <v/>
      </c>
      <c r="F7" s="6" t="inlineStr">
        <is>
          <t>4 if any declared PEP, else 1</t>
        </is>
      </c>
    </row>
    <row r="8">
      <c r="A8" s="10" t="inlineStr">
        <is>
          <t>D1</t>
        </is>
      </c>
      <c r="B8" s="5" t="inlineStr">
        <is>
          <t>Adverse Media</t>
        </is>
      </c>
      <c r="C8" s="11" t="n">
        <v>0.15</v>
      </c>
      <c r="D8" s="19" t="n">
        <v>1</v>
      </c>
      <c r="E8" s="20">
        <f>IF(D8="",0,C8*D8)</f>
        <v/>
      </c>
      <c r="F8" s="6" t="inlineStr">
        <is>
          <t>Screening result</t>
        </is>
      </c>
    </row>
    <row r="9">
      <c r="A9" s="10" t="inlineStr">
        <is>
          <t>D1</t>
        </is>
      </c>
      <c r="B9" s="5" t="inlineStr">
        <is>
          <t>Source of Wealth</t>
        </is>
      </c>
      <c r="C9" s="11" t="n">
        <v>0.1</v>
      </c>
      <c r="D9" s="19" t="n">
        <v>2</v>
      </c>
      <c r="E9" s="20">
        <f>IF(D9="",0,C9*D9)</f>
        <v/>
      </c>
      <c r="F9" s="6" t="inlineStr">
        <is>
          <t>Assessed</t>
        </is>
      </c>
    </row>
    <row r="10">
      <c r="A10" s="10" t="inlineStr">
        <is>
          <t>D1</t>
        </is>
      </c>
      <c r="B10" s="5" t="inlineStr">
        <is>
          <t>Source of Funds</t>
        </is>
      </c>
      <c r="C10" s="11" t="n">
        <v>0.1</v>
      </c>
      <c r="D10" s="19" t="n">
        <v>2</v>
      </c>
      <c r="E10" s="20">
        <f>IF(D10="",0,C10*D10)</f>
        <v/>
      </c>
      <c r="F10" s="6" t="inlineStr">
        <is>
          <t>Assessed</t>
        </is>
      </c>
    </row>
    <row r="11">
      <c r="A11" s="10" t="inlineStr">
        <is>
          <t>D2</t>
        </is>
      </c>
      <c r="B11" s="5" t="inlineStr">
        <is>
          <t>Country of Incorporation</t>
        </is>
      </c>
      <c r="C11" s="11" t="n">
        <v>0.25</v>
      </c>
      <c r="D11" s="19" t="n">
        <v>2</v>
      </c>
      <c r="E11" s="20">
        <f>IF(D11="",0,C11*D11)</f>
        <v/>
      </c>
      <c r="F11" s="6" t="inlineStr">
        <is>
          <t>Map_Country</t>
        </is>
      </c>
    </row>
    <row r="12">
      <c r="A12" s="10" t="inlineStr">
        <is>
          <t>D2</t>
        </is>
      </c>
      <c r="B12" s="5" t="inlineStr">
        <is>
          <t>UBO / Director Nationalities</t>
        </is>
      </c>
      <c r="C12" s="11" t="n">
        <v>0.2</v>
      </c>
      <c r="D12" s="19" t="n">
        <v>2</v>
      </c>
      <c r="E12" s="20">
        <f>IF(D12="",0,C12*D12)</f>
        <v/>
      </c>
      <c r="F12" s="6" t="inlineStr">
        <is>
          <t>Map_Country — MAX across parties</t>
        </is>
      </c>
    </row>
    <row r="13">
      <c r="A13" s="10" t="inlineStr">
        <is>
          <t>D2</t>
        </is>
      </c>
      <c r="B13" s="5" t="inlineStr">
        <is>
          <t>Intermediary Jurisdictions</t>
        </is>
      </c>
      <c r="C13" s="11" t="n">
        <v>0.2</v>
      </c>
      <c r="D13" s="19" t="n">
        <v>1</v>
      </c>
      <c r="E13" s="20">
        <f>IF(D13="",0,C13*D13)</f>
        <v/>
      </c>
      <c r="F13" s="6" t="inlineStr">
        <is>
          <t>Map_Country — MAX; secrecy = 4</t>
        </is>
      </c>
    </row>
    <row r="14">
      <c r="A14" s="10" t="inlineStr">
        <is>
          <t>D2</t>
        </is>
      </c>
      <c r="B14" s="5" t="inlineStr">
        <is>
          <t>Countries of Operation</t>
        </is>
      </c>
      <c r="C14" s="11" t="n">
        <v>0.2</v>
      </c>
      <c r="D14" s="19" t="n">
        <v>2</v>
      </c>
      <c r="E14" s="20">
        <f>IF(D14="",0,C14*D14)</f>
        <v/>
      </c>
      <c r="F14" s="6" t="inlineStr">
        <is>
          <t>Map_Country — MAX</t>
        </is>
      </c>
    </row>
    <row r="15">
      <c r="A15" s="10" t="inlineStr">
        <is>
          <t>D2</t>
        </is>
      </c>
      <c r="B15" s="5" t="inlineStr">
        <is>
          <t>Target Markets</t>
        </is>
      </c>
      <c r="C15" s="11" t="n">
        <v>0.15</v>
      </c>
      <c r="D15" s="19" t="n">
        <v>2</v>
      </c>
      <c r="E15" s="20">
        <f>IF(D15="",0,C15*D15)</f>
        <v/>
      </c>
      <c r="F15" s="6" t="inlineStr">
        <is>
          <t>Map_Country — MAX</t>
        </is>
      </c>
    </row>
    <row r="16">
      <c r="A16" s="10" t="inlineStr">
        <is>
          <t>D3</t>
        </is>
      </c>
      <c r="B16" s="5" t="inlineStr">
        <is>
          <t>Service Type</t>
        </is>
      </c>
      <c r="C16" s="11" t="n">
        <v>0.4</v>
      </c>
      <c r="D16" s="19" t="n">
        <v>2</v>
      </c>
      <c r="E16" s="20">
        <f>IF(D16="",0,C16*D16)</f>
        <v/>
      </c>
      <c r="F16" s="6" t="inlineStr">
        <is>
          <t>MAX across selected services</t>
        </is>
      </c>
    </row>
    <row r="17">
      <c r="A17" s="10" t="inlineStr">
        <is>
          <t>D3</t>
        </is>
      </c>
      <c r="B17" s="5" t="inlineStr">
        <is>
          <t>Monthly Volume</t>
        </is>
      </c>
      <c r="C17" s="11" t="n">
        <v>0.35</v>
      </c>
      <c r="D17" s="19" t="n">
        <v>1</v>
      </c>
      <c r="E17" s="20">
        <f>IF(D17="",0,C17*D17)</f>
        <v/>
      </c>
      <c r="F17" s="6" t="inlineStr">
        <is>
          <t>Map_Other — monthly_volume</t>
        </is>
      </c>
    </row>
    <row r="18">
      <c r="A18" s="10" t="inlineStr">
        <is>
          <t>D3</t>
        </is>
      </c>
      <c r="B18" s="5" t="inlineStr">
        <is>
          <t>Transaction Complexity</t>
        </is>
      </c>
      <c r="C18" s="11" t="n">
        <v>0.25</v>
      </c>
      <c r="D18" s="19" t="n">
        <v>2</v>
      </c>
      <c r="E18" s="20">
        <f>IF(D18="",0,C18*D18)</f>
        <v/>
      </c>
      <c r="F18" s="6" t="inlineStr">
        <is>
          <t>Map_Other — complexity</t>
        </is>
      </c>
    </row>
    <row r="19">
      <c r="A19" s="10" t="inlineStr">
        <is>
          <t>D4</t>
        </is>
      </c>
      <c r="B19" s="5" t="inlineStr">
        <is>
          <t>Industry Sector</t>
        </is>
      </c>
      <c r="C19" s="11" t="n">
        <v>1</v>
      </c>
      <c r="D19" s="19" t="n">
        <v>2</v>
      </c>
      <c r="E19" s="20">
        <f>IF(D19="",0,C19*D19)</f>
        <v/>
      </c>
      <c r="F19" s="6" t="inlineStr">
        <is>
          <t>Map_Sector</t>
        </is>
      </c>
    </row>
    <row r="20">
      <c r="A20" s="10" t="inlineStr">
        <is>
          <t>D5</t>
        </is>
      </c>
      <c r="B20" s="5" t="inlineStr">
        <is>
          <t>Introduction Method</t>
        </is>
      </c>
      <c r="C20" s="11" t="n">
        <v>0.5</v>
      </c>
      <c r="D20" s="19" t="n">
        <v>1</v>
      </c>
      <c r="E20" s="20">
        <f>IF(D20="",0,C20*D20)</f>
        <v/>
      </c>
      <c r="F20" s="6" t="inlineStr">
        <is>
          <t>Map_Other — introduction</t>
        </is>
      </c>
    </row>
    <row r="21">
      <c r="A21" s="10" t="inlineStr">
        <is>
          <t>D5</t>
        </is>
      </c>
      <c r="B21" s="5" t="inlineStr">
        <is>
          <t>Delivery Channel</t>
        </is>
      </c>
      <c r="C21" s="11" t="n">
        <v>0.5</v>
      </c>
      <c r="D21" s="19" t="n">
        <v>2</v>
      </c>
      <c r="E21" s="20">
        <f>IF(D21="",0,C21*D21)</f>
        <v/>
      </c>
      <c r="F21" s="6" t="inlineStr">
        <is>
          <t>Assessed</t>
        </is>
      </c>
    </row>
    <row r="23">
      <c r="A23" s="3" t="inlineStr"/>
      <c r="B23" s="3" t="inlineStr">
        <is>
          <t>DIMENSION SCORES</t>
        </is>
      </c>
      <c r="C23" s="3" t="inlineStr"/>
      <c r="D23" s="3" t="inlineStr"/>
      <c r="E23" s="3" t="inlineStr"/>
      <c r="F23" s="3" t="inlineStr"/>
    </row>
    <row r="24">
      <c r="A24" s="9" t="inlineStr">
        <is>
          <t>Dim</t>
        </is>
      </c>
      <c r="B24" s="9" t="inlineStr">
        <is>
          <t>Dimension</t>
        </is>
      </c>
      <c r="C24" s="9" t="inlineStr">
        <is>
          <t>Dim weight</t>
        </is>
      </c>
      <c r="D24" s="9" t="inlineStr">
        <is>
          <t>Dim score</t>
        </is>
      </c>
      <c r="E24" s="9" t="inlineStr">
        <is>
          <t>Contribution</t>
        </is>
      </c>
      <c r="F24" s="9" t="inlineStr">
        <is>
          <t>Check</t>
        </is>
      </c>
    </row>
    <row r="25">
      <c r="A25" s="10" t="inlineStr">
        <is>
          <t>D1</t>
        </is>
      </c>
      <c r="B25" s="5" t="inlineStr">
        <is>
          <t>Customer / Entity</t>
        </is>
      </c>
      <c r="C25" s="11" t="n">
        <v>0.3</v>
      </c>
      <c r="D25" s="21">
        <f>SUM(E5:E10)</f>
        <v/>
      </c>
      <c r="E25" s="20">
        <f>(D25-1)/3*C25*100</f>
        <v/>
      </c>
      <c r="F25" s="6">
        <f>IF(ABS(SUM(C5:C10)-1)&gt;0.0001,"sub-weights must total 100%","ok")</f>
        <v/>
      </c>
    </row>
    <row r="26">
      <c r="A26" s="10" t="inlineStr">
        <is>
          <t>D2</t>
        </is>
      </c>
      <c r="B26" s="5" t="inlineStr">
        <is>
          <t>Geographic</t>
        </is>
      </c>
      <c r="C26" s="11" t="n">
        <v>0.25</v>
      </c>
      <c r="D26" s="21">
        <f>SUM(E11:E15)</f>
        <v/>
      </c>
      <c r="E26" s="20">
        <f>(D26-1)/3*C26*100</f>
        <v/>
      </c>
      <c r="F26" s="6">
        <f>IF(ABS(SUM(C11:C15)-1)&gt;0.0001,"sub-weights must total 100%","ok")</f>
        <v/>
      </c>
    </row>
    <row r="27">
      <c r="A27" s="10" t="inlineStr">
        <is>
          <t>D3</t>
        </is>
      </c>
      <c r="B27" s="5" t="inlineStr">
        <is>
          <t>Product / Service</t>
        </is>
      </c>
      <c r="C27" s="11" t="n">
        <v>0.2</v>
      </c>
      <c r="D27" s="21">
        <f>SUM(E16:E18)</f>
        <v/>
      </c>
      <c r="E27" s="20">
        <f>(D27-1)/3*C27*100</f>
        <v/>
      </c>
      <c r="F27" s="6">
        <f>IF(ABS(SUM(C16:C18)-1)&gt;0.0001,"sub-weights must total 100%","ok")</f>
        <v/>
      </c>
    </row>
    <row r="28">
      <c r="A28" s="10" t="inlineStr">
        <is>
          <t>D4</t>
        </is>
      </c>
      <c r="B28" s="5" t="inlineStr">
        <is>
          <t>Industry / Sector</t>
        </is>
      </c>
      <c r="C28" s="11" t="n">
        <v>0.15</v>
      </c>
      <c r="D28" s="21">
        <f>SUM(E19:E19)</f>
        <v/>
      </c>
      <c r="E28" s="20">
        <f>(D28-1)/3*C28*100</f>
        <v/>
      </c>
      <c r="F28" s="6">
        <f>IF(ABS(SUM(C19:C19)-1)&gt;0.0001,"sub-weights must total 100%","ok")</f>
        <v/>
      </c>
    </row>
    <row r="29">
      <c r="A29" s="10" t="inlineStr">
        <is>
          <t>D5</t>
        </is>
      </c>
      <c r="B29" s="5" t="inlineStr">
        <is>
          <t>Delivery Channel</t>
        </is>
      </c>
      <c r="C29" s="11" t="n">
        <v>0.1</v>
      </c>
      <c r="D29" s="21">
        <f>SUM(E20:E21)</f>
        <v/>
      </c>
      <c r="E29" s="20">
        <f>(D29-1)/3*C29*100</f>
        <v/>
      </c>
      <c r="F29" s="6">
        <f>IF(ABS(SUM(C20:C21)-1)&gt;0.0001,"sub-weights must total 100%","ok")</f>
        <v/>
      </c>
    </row>
    <row r="30">
      <c r="B30" s="4" t="inlineStr">
        <is>
          <t>Weighted average</t>
        </is>
      </c>
      <c r="D30" s="22">
        <f>SUMPRODUCT(C25:C29,D25:D29)</f>
        <v/>
      </c>
      <c r="E30" s="22">
        <f>SUM(E25:E29)</f>
        <v/>
      </c>
      <c r="F30" s="13" t="inlineStr">
        <is>
          <t>Contributions sum to the composite score</t>
        </is>
      </c>
    </row>
    <row r="32">
      <c r="A32" s="3" t="inlineStr"/>
      <c r="B32" s="3" t="inlineStr">
        <is>
          <t>RESULT</t>
        </is>
      </c>
      <c r="C32" s="3" t="inlineStr"/>
      <c r="D32" s="3" t="inlineStr"/>
      <c r="E32" s="3" t="inlineStr"/>
      <c r="F32" s="3" t="inlineStr"/>
    </row>
    <row r="33">
      <c r="B33" s="4" t="inlineStr">
        <is>
          <t>Composite score (0-100)</t>
        </is>
      </c>
      <c r="D33" s="23">
        <f>ROUND((D30-1)/3*100,1)</f>
        <v/>
      </c>
      <c r="F33" s="13" t="inlineStr">
        <is>
          <t>( weighted average - 1 ) / 3 x 100</t>
        </is>
      </c>
    </row>
    <row r="34">
      <c r="B34" s="4" t="inlineStr">
        <is>
          <t>Computed tier</t>
        </is>
      </c>
      <c r="D34" s="24">
        <f>IF(D33&gt;=70,"VERY_HIGH",IF(D33&gt;=55,"HIGH",IF(D33&gt;=40,"MEDIUM","LOW")))</f>
        <v/>
      </c>
      <c r="F34" s="13" t="inlineStr">
        <is>
          <t>LOW &lt;40 | MEDIUM 40-54.9 | HIGH 55-69.9 | VERY_HIGH 70+</t>
        </is>
      </c>
    </row>
    <row r="36">
      <c r="A36" s="3" t="inlineStr"/>
      <c r="B36" s="3" t="inlineStr">
        <is>
          <t>POLICY OVERRIDE (floors and elevations)</t>
        </is>
      </c>
      <c r="C36" s="3" t="inlineStr"/>
      <c r="D36" s="3" t="inlineStr"/>
      <c r="E36" s="3" t="inlineStr"/>
      <c r="F36" s="3" t="inlineStr"/>
    </row>
    <row r="37">
      <c r="B37" s="10" t="inlineStr">
        <is>
          <t>Floor applied? (see Floors_Elevations)</t>
        </is>
      </c>
      <c r="D37" s="19" t="inlineStr">
        <is>
          <t>NONE</t>
        </is>
      </c>
      <c r="F37" s="6" t="inlineStr">
        <is>
          <t>Enter NONE, MEDIUM, HIGH or VERY_HIGH</t>
        </is>
      </c>
    </row>
    <row r="38">
      <c r="B38" s="4" t="inlineStr">
        <is>
          <t>Final score after floor</t>
        </is>
      </c>
      <c r="D38" s="23">
        <f>IF(D37="HIGH",MAX(D33,55),IF(D37="VERY_HIGH",MAX(D33,70),D33))</f>
        <v/>
      </c>
      <c r="F38" s="13" t="inlineStr">
        <is>
          <t>A MEDIUM floor deliberately keeps the raw score; HIGH lifts to 55, VERY_HIGH to 70</t>
        </is>
      </c>
    </row>
    <row r="39">
      <c r="B39" s="4" t="inlineStr">
        <is>
          <t>FINAL RISK LEVEL</t>
        </is>
      </c>
      <c r="D39" s="25">
        <f>IF(D37="NONE",D34,IF(D37="MEDIUM",IF(D34="LOW","MEDIUM",D34),D37))</f>
        <v/>
      </c>
      <c r="F39" s="13" t="inlineStr">
        <is>
          <t>A floor can only raise the level, never lower it</t>
        </is>
      </c>
    </row>
    <row r="40">
      <c r="B40" s="4" t="inlineStr">
        <is>
          <t>APPROVAL ROUTE</t>
        </is>
      </c>
      <c r="D40" s="24">
        <f>IF(OR(D39="HIGH",D39="VERY_HIGH"),"dual_control_required",IF(D39="MEDIUM","compliance_required","direct_low_medium"))</f>
        <v/>
      </c>
      <c r="F40" s="13" t="inlineStr">
        <is>
          <t>See Approval_Routes for the required approvers</t>
        </is>
      </c>
    </row>
    <row r="42" ht="30" customHeight="1">
      <c r="A42" s="8" t="inlineStr">
        <is>
          <t>The scores pre-filled above are an EXAMPLE showing the expected format. Overwrite them with the case you are checking. To reconcile against the back office, compare this Composite score and Final risk level with the Risk Assessment panel; the per-dimension Contribution column matches the panel's Contribution column.</t>
        </is>
      </c>
    </row>
  </sheetData>
  <mergeCells count="1">
    <mergeCell ref="A42:F42"/>
  </mergeCells>
  <dataValidations count="2">
    <dataValidation sqref="D5 D6 D7 D8 D9 D10 D11 D12 D13 D14 D15 D16 D17 D18 D19 D20 D21" showDropDown="0" showInputMessage="0" showErrorMessage="1" allowBlank="1" errorTitle="Score out of range" error="Each sub-criteria score must be 1, 2, 3 or 4." type="whole" operator="between">
      <formula1>1</formula1>
      <formula2>4</formula2>
    </dataValidation>
    <dataValidation sqref="D37" showDropDown="0" showInputMessage="0" showErrorMessage="1" allowBlank="1" type="list">
      <formula1>"NONE,MEDIUM,HIGH,VERY_HIGH"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8" customWidth="1" min="1" max="1"/>
    <col width="34" customWidth="1" min="2" max="2"/>
    <col width="30" customWidth="1" min="3" max="3"/>
    <col width="10" customWidth="1" min="4" max="4"/>
    <col width="12" customWidth="1" min="5" max="5"/>
    <col width="14" customWidth="1" min="6" max="6"/>
  </cols>
  <sheetData>
    <row r="1">
      <c r="A1" s="1" t="inlineStr">
        <is>
          <t>Worked example — reconciled against the live engine</t>
        </is>
      </c>
    </row>
    <row r="2" ht="26" customHeight="1">
      <c r="A2" s="8" t="inlineStr">
        <is>
          <t>Every figure below was produced by rule_engine.compute_risk_score, not by hand. Reproduce it in the Calculator sheet to confirm the template matches production.</t>
        </is>
      </c>
    </row>
    <row r="4">
      <c r="A4" s="9" t="inlineStr">
        <is>
          <t>Dim</t>
        </is>
      </c>
      <c r="B4" s="9" t="inlineStr">
        <is>
          <t>Sub-criteria</t>
        </is>
      </c>
      <c r="C4" s="9" t="inlineStr">
        <is>
          <t>Input value</t>
        </is>
      </c>
      <c r="D4" s="9" t="inlineStr">
        <is>
          <t>Score</t>
        </is>
      </c>
      <c r="E4" s="9" t="inlineStr">
        <is>
          <t>Weight</t>
        </is>
      </c>
      <c r="F4" s="9" t="inlineStr">
        <is>
          <t>Weighted</t>
        </is>
      </c>
    </row>
    <row r="5">
      <c r="A5" s="10" t="inlineStr">
        <is>
          <t>D1</t>
        </is>
      </c>
      <c r="B5" s="5" t="inlineStr">
        <is>
          <t>Entity Type</t>
        </is>
      </c>
      <c r="C5" s="5" t="inlineStr">
        <is>
          <t>SME / Private Company</t>
        </is>
      </c>
      <c r="D5" s="26" t="n">
        <v>2</v>
      </c>
      <c r="E5" s="11" t="n">
        <v>0.2</v>
      </c>
      <c r="F5" s="20">
        <f>D5*E5</f>
        <v/>
      </c>
    </row>
    <row r="6">
      <c r="A6" s="10" t="inlineStr">
        <is>
          <t>D1</t>
        </is>
      </c>
      <c r="B6" s="5" t="inlineStr">
        <is>
          <t>Ownership Structure</t>
        </is>
      </c>
      <c r="C6" s="5" t="inlineStr">
        <is>
          <t>Simple — direct identifiable UBOs</t>
        </is>
      </c>
      <c r="D6" s="26" t="n">
        <v>1</v>
      </c>
      <c r="E6" s="11" t="n">
        <v>0.2</v>
      </c>
      <c r="F6" s="20">
        <f>D6*E6</f>
        <v/>
      </c>
    </row>
    <row r="7">
      <c r="A7" s="10" t="inlineStr">
        <is>
          <t>D1</t>
        </is>
      </c>
      <c r="B7" s="5" t="inlineStr">
        <is>
          <t>PEP Status</t>
        </is>
      </c>
      <c r="C7" s="5" t="inlineStr">
        <is>
          <t>No declared PEP</t>
        </is>
      </c>
      <c r="D7" s="26" t="n">
        <v>1</v>
      </c>
      <c r="E7" s="11" t="n">
        <v>0.25</v>
      </c>
      <c r="F7" s="20">
        <f>D7*E7</f>
        <v/>
      </c>
    </row>
    <row r="8">
      <c r="A8" s="10" t="inlineStr">
        <is>
          <t>D1</t>
        </is>
      </c>
      <c r="B8" s="5" t="inlineStr">
        <is>
          <t>Adverse Media</t>
        </is>
      </c>
      <c r="C8" s="5" t="inlineStr">
        <is>
          <t>No adverse media</t>
        </is>
      </c>
      <c r="D8" s="26" t="n">
        <v>1</v>
      </c>
      <c r="E8" s="11" t="n">
        <v>0.15</v>
      </c>
      <c r="F8" s="20">
        <f>D8*E8</f>
        <v/>
      </c>
    </row>
    <row r="9">
      <c r="A9" s="10" t="inlineStr">
        <is>
          <t>D1</t>
        </is>
      </c>
      <c r="B9" s="5" t="inlineStr">
        <is>
          <t>Source of Wealth</t>
        </is>
      </c>
      <c r="C9" s="5" t="inlineStr">
        <is>
          <t>None</t>
        </is>
      </c>
      <c r="D9" s="26" t="n">
        <v>3</v>
      </c>
      <c r="E9" s="11" t="n">
        <v>0.1</v>
      </c>
      <c r="F9" s="20">
        <f>D9*E9</f>
        <v/>
      </c>
    </row>
    <row r="10">
      <c r="A10" s="10" t="inlineStr">
        <is>
          <t>D1</t>
        </is>
      </c>
      <c r="B10" s="5" t="inlineStr">
        <is>
          <t>Source of Funds</t>
        </is>
      </c>
      <c r="C10" s="5" t="inlineStr">
        <is>
          <t>None</t>
        </is>
      </c>
      <c r="D10" s="26" t="n">
        <v>3</v>
      </c>
      <c r="E10" s="11" t="n">
        <v>0.1</v>
      </c>
      <c r="F10" s="20">
        <f>D10*E10</f>
        <v/>
      </c>
    </row>
    <row r="11">
      <c r="A11" s="10" t="inlineStr">
        <is>
          <t>D2</t>
        </is>
      </c>
      <c r="B11" s="5" t="inlineStr">
        <is>
          <t>Country of Incorporation</t>
        </is>
      </c>
      <c r="C11" s="5" t="inlineStr">
        <is>
          <t>Mauritius</t>
        </is>
      </c>
      <c r="D11" s="26" t="n">
        <v>2</v>
      </c>
      <c r="E11" s="11" t="n">
        <v>0.25</v>
      </c>
      <c r="F11" s="20">
        <f>D11*E11</f>
        <v/>
      </c>
    </row>
    <row r="12">
      <c r="A12" s="10" t="inlineStr">
        <is>
          <t>D2</t>
        </is>
      </c>
      <c r="B12" s="5" t="inlineStr">
        <is>
          <t>UBO / Director Nationalities</t>
        </is>
      </c>
      <c r="C12" s="5" t="inlineStr">
        <is>
          <t>['Mauritian', 'French']</t>
        </is>
      </c>
      <c r="D12" s="26" t="n">
        <v>2</v>
      </c>
      <c r="E12" s="11" t="n">
        <v>0.2</v>
      </c>
      <c r="F12" s="20">
        <f>D12*E12</f>
        <v/>
      </c>
    </row>
    <row r="13">
      <c r="A13" s="10" t="inlineStr">
        <is>
          <t>D2</t>
        </is>
      </c>
      <c r="B13" s="5" t="inlineStr">
        <is>
          <t>Intermediary Shareholder Jurisdictions</t>
        </is>
      </c>
      <c r="C13" s="5" t="inlineStr">
        <is>
          <t>[]</t>
        </is>
      </c>
      <c r="D13" s="26" t="n">
        <v>1</v>
      </c>
      <c r="E13" s="11" t="n">
        <v>0.2</v>
      </c>
      <c r="F13" s="20">
        <f>D13*E13</f>
        <v/>
      </c>
    </row>
    <row r="14">
      <c r="A14" s="10" t="inlineStr">
        <is>
          <t>D2</t>
        </is>
      </c>
      <c r="B14" s="5" t="inlineStr">
        <is>
          <t>Countries of Operation</t>
        </is>
      </c>
      <c r="C14" s="5" t="inlineStr">
        <is>
          <t>['Mauritius']</t>
        </is>
      </c>
      <c r="D14" s="26" t="n">
        <v>2</v>
      </c>
      <c r="E14" s="11" t="n">
        <v>0.2</v>
      </c>
      <c r="F14" s="20">
        <f>D14*E14</f>
        <v/>
      </c>
    </row>
    <row r="15">
      <c r="A15" s="10" t="inlineStr">
        <is>
          <t>D2</t>
        </is>
      </c>
      <c r="B15" s="5" t="inlineStr">
        <is>
          <t>Target Markets</t>
        </is>
      </c>
      <c r="C15" s="5" t="inlineStr">
        <is>
          <t>['South Africa']</t>
        </is>
      </c>
      <c r="D15" s="26" t="n">
        <v>3</v>
      </c>
      <c r="E15" s="11" t="n">
        <v>0.15</v>
      </c>
      <c r="F15" s="20">
        <f>D15*E15</f>
        <v/>
      </c>
    </row>
    <row r="16">
      <c r="A16" s="10" t="inlineStr">
        <is>
          <t>D3</t>
        </is>
      </c>
      <c r="B16" s="5" t="inlineStr">
        <is>
          <t>Service Type</t>
        </is>
      </c>
      <c r="C16" s="5" t="inlineStr">
        <is>
          <t>None</t>
        </is>
      </c>
      <c r="D16" s="26" t="n">
        <v>2</v>
      </c>
      <c r="E16" s="11" t="n">
        <v>0.4</v>
      </c>
      <c r="F16" s="20">
        <f>D16*E16</f>
        <v/>
      </c>
    </row>
    <row r="17">
      <c r="A17" s="10" t="inlineStr">
        <is>
          <t>D3</t>
        </is>
      </c>
      <c r="B17" s="5" t="inlineStr">
        <is>
          <t>Monthly Volume</t>
        </is>
      </c>
      <c r="C17" s="5" t="inlineStr">
        <is>
          <t>Under USD 50,000 per month</t>
        </is>
      </c>
      <c r="D17" s="26" t="n">
        <v>2</v>
      </c>
      <c r="E17" s="11" t="n">
        <v>0.35</v>
      </c>
      <c r="F17" s="20">
        <f>D17*E17</f>
        <v/>
      </c>
    </row>
    <row r="18">
      <c r="A18" s="10" t="inlineStr">
        <is>
          <t>D3</t>
        </is>
      </c>
      <c r="B18" s="5" t="inlineStr">
        <is>
          <t>Transaction Complexity</t>
        </is>
      </c>
      <c r="C18" s="5" t="inlineStr">
        <is>
          <t>Simple — domestic only</t>
        </is>
      </c>
      <c r="D18" s="26" t="n">
        <v>1</v>
      </c>
      <c r="E18" s="11" t="n">
        <v>0.25</v>
      </c>
      <c r="F18" s="20">
        <f>D18*E18</f>
        <v/>
      </c>
    </row>
    <row r="19">
      <c r="A19" s="10" t="inlineStr">
        <is>
          <t>D4</t>
        </is>
      </c>
      <c r="B19" s="5" t="inlineStr">
        <is>
          <t>Industry Sector</t>
        </is>
      </c>
      <c r="C19" s="5" t="inlineStr">
        <is>
          <t>Software / SaaS</t>
        </is>
      </c>
      <c r="D19" s="26" t="n">
        <v>2</v>
      </c>
      <c r="E19" s="11" t="n">
        <v>1</v>
      </c>
      <c r="F19" s="20">
        <f>D19*E19</f>
        <v/>
      </c>
    </row>
    <row r="20">
      <c r="A20" s="10" t="inlineStr">
        <is>
          <t>D5</t>
        </is>
      </c>
      <c r="B20" s="5" t="inlineStr">
        <is>
          <t>Introduction Method</t>
        </is>
      </c>
      <c r="C20" s="5" t="inlineStr">
        <is>
          <t>Direct application</t>
        </is>
      </c>
      <c r="D20" s="26" t="n">
        <v>1</v>
      </c>
      <c r="E20" s="11" t="n">
        <v>0.5</v>
      </c>
      <c r="F20" s="20">
        <f>D20*E20</f>
        <v/>
      </c>
    </row>
    <row r="21">
      <c r="A21" s="10" t="inlineStr">
        <is>
          <t>D5</t>
        </is>
      </c>
      <c r="B21" s="5" t="inlineStr">
        <is>
          <t>Delivery Channel</t>
        </is>
      </c>
      <c r="C21" s="5" t="inlineStr">
        <is>
          <t>(not provided)</t>
        </is>
      </c>
      <c r="D21" s="26" t="n">
        <v>2</v>
      </c>
      <c r="E21" s="11" t="n">
        <v>0.5</v>
      </c>
      <c r="F21" s="20">
        <f>D21*E21</f>
        <v/>
      </c>
    </row>
    <row r="23">
      <c r="A23" s="9" t="inlineStr">
        <is>
          <t>Dim</t>
        </is>
      </c>
      <c r="B23" s="9" t="inlineStr">
        <is>
          <t>Dimension score</t>
        </is>
      </c>
      <c r="C23" s="9" t="inlineStr">
        <is>
          <t>Formula</t>
        </is>
      </c>
      <c r="D23" s="9" t="inlineStr">
        <is>
          <t>Dim weight</t>
        </is>
      </c>
      <c r="E23" s="9" t="inlineStr">
        <is>
          <t>Contribution</t>
        </is>
      </c>
      <c r="F23" s="9" t="inlineStr"/>
    </row>
    <row r="24">
      <c r="A24" s="10" t="inlineStr">
        <is>
          <t>D1</t>
        </is>
      </c>
      <c r="B24" s="21">
        <f>SUM(F5:F10)</f>
        <v/>
      </c>
      <c r="C24" s="6" t="inlineStr">
        <is>
          <t>sum of weighted sub-criteria</t>
        </is>
      </c>
      <c r="D24" s="11" t="n">
        <v>0.3</v>
      </c>
      <c r="E24" s="20">
        <f>(B24-1)/3*D24*100</f>
        <v/>
      </c>
      <c r="F24" s="5" t="inlineStr"/>
    </row>
    <row r="25">
      <c r="A25" s="10" t="inlineStr">
        <is>
          <t>D2</t>
        </is>
      </c>
      <c r="B25" s="21">
        <f>SUM(F11:F15)</f>
        <v/>
      </c>
      <c r="C25" s="6" t="inlineStr">
        <is>
          <t>sum of weighted sub-criteria</t>
        </is>
      </c>
      <c r="D25" s="11" t="n">
        <v>0.25</v>
      </c>
      <c r="E25" s="20">
        <f>(B25-1)/3*D25*100</f>
        <v/>
      </c>
      <c r="F25" s="5" t="inlineStr"/>
    </row>
    <row r="26">
      <c r="A26" s="10" t="inlineStr">
        <is>
          <t>D3</t>
        </is>
      </c>
      <c r="B26" s="21">
        <f>SUM(F16:F18)</f>
        <v/>
      </c>
      <c r="C26" s="6" t="inlineStr">
        <is>
          <t>sum of weighted sub-criteria</t>
        </is>
      </c>
      <c r="D26" s="11" t="n">
        <v>0.2</v>
      </c>
      <c r="E26" s="20">
        <f>(B26-1)/3*D26*100</f>
        <v/>
      </c>
      <c r="F26" s="5" t="inlineStr"/>
    </row>
    <row r="27">
      <c r="A27" s="10" t="inlineStr">
        <is>
          <t>D4</t>
        </is>
      </c>
      <c r="B27" s="21">
        <f>SUM(F19:F19)</f>
        <v/>
      </c>
      <c r="C27" s="6" t="inlineStr">
        <is>
          <t>sum of weighted sub-criteria</t>
        </is>
      </c>
      <c r="D27" s="11" t="n">
        <v>0.15</v>
      </c>
      <c r="E27" s="20">
        <f>(B27-1)/3*D27*100</f>
        <v/>
      </c>
      <c r="F27" s="5" t="inlineStr"/>
    </row>
    <row r="28">
      <c r="A28" s="10" t="inlineStr">
        <is>
          <t>D5</t>
        </is>
      </c>
      <c r="B28" s="21">
        <f>SUM(F20:F21)</f>
        <v/>
      </c>
      <c r="C28" s="6" t="inlineStr">
        <is>
          <t>sum of weighted sub-criteria</t>
        </is>
      </c>
      <c r="D28" s="11" t="n">
        <v>0.1</v>
      </c>
      <c r="E28" s="20">
        <f>(B28-1)/3*D28*100</f>
        <v/>
      </c>
      <c r="F28" s="5" t="inlineStr"/>
    </row>
    <row r="29">
      <c r="A29" s="31" t="inlineStr"/>
      <c r="B29" s="22">
        <f>SUMPRODUCT(B24:B28,D24:D28)</f>
        <v/>
      </c>
      <c r="C29" s="4" t="inlineStr">
        <is>
          <t>weighted average</t>
        </is>
      </c>
      <c r="D29" s="31" t="inlineStr"/>
      <c r="E29" s="22">
        <f>SUM(E24:E28)</f>
        <v/>
      </c>
      <c r="F29" s="31" t="inlineStr"/>
    </row>
    <row r="31">
      <c r="A31" s="32" t="inlineStr"/>
      <c r="B31" s="33" t="inlineStr">
        <is>
          <t>Composite score</t>
        </is>
      </c>
      <c r="C31" s="34">
        <f>ROUND((B29-1)/3*100,1)</f>
        <v/>
      </c>
      <c r="D31" s="35" t="inlineStr">
        <is>
          <t>Engine returned</t>
        </is>
      </c>
      <c r="E31" s="34" t="n">
        <v>25.6</v>
      </c>
      <c r="F31" s="36">
        <f>IF(ABS(C31-E31)&lt;0.05,"MATCH","MISMATCH")</f>
        <v/>
      </c>
    </row>
    <row r="32">
      <c r="A32" s="32" t="inlineStr"/>
      <c r="B32" s="33" t="inlineStr">
        <is>
          <t>Risk tier</t>
        </is>
      </c>
      <c r="C32" s="36" t="inlineStr">
        <is>
          <t>LOW</t>
        </is>
      </c>
      <c r="D32" s="35" t="inlineStr">
        <is>
          <t>Escalations</t>
        </is>
      </c>
      <c r="E32" s="32" t="inlineStr">
        <is>
          <t>none</t>
        </is>
      </c>
      <c r="F32" s="32" t="inlineStr"/>
    </row>
    <row r="34" ht="26" customHeight="1">
      <c r="A34" s="8" t="inlineStr">
        <is>
          <t>Note on Countries of Operation and Target Markets: these use MAX across the list. Here South Africa (score 3) sets Target Markets, which is why D2 is 1.95 rather than the 1.60 a Mauritius-only profile would give.</t>
        </is>
      </c>
    </row>
    <row r="35" ht="26" customHeight="1">
      <c r="A35" s="8" t="inlineStr">
        <is>
          <t>This example carries no floor, so the composite equals the sum of the contributions and the policy adjustment is zero. Where a floor applies, the stored score is raised to the band minimum and the difference is recorded as the policy adjustment — see Floors_Elevations.</t>
        </is>
      </c>
    </row>
  </sheetData>
  <mergeCells count="3">
    <mergeCell ref="A2:F2"/>
    <mergeCell ref="A34:F34"/>
    <mergeCell ref="A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7"/>
  <sheetViews>
    <sheetView workbookViewId="0">
      <pane ySplit="3" topLeftCell="A4" activePane="bottomLeft" state="frozen"/>
      <selection pane="bottomLeft" activeCell="A1" sqref="A1"/>
    </sheetView>
  </sheetViews>
  <sheetFormatPr baseColWidth="8" defaultRowHeight="15"/>
  <cols>
    <col width="46" customWidth="1" min="1" max="1"/>
    <col width="10" customWidth="1" min="2" max="2"/>
    <col width="20" customWidth="1" min="3" max="3"/>
    <col width="34" customWidth="1" min="4" max="4"/>
  </cols>
  <sheetData>
    <row r="1">
      <c r="A1" s="1" t="inlineStr">
        <is>
          <t>Industry sector scores (D4)</t>
        </is>
      </c>
    </row>
    <row r="3">
      <c r="A3" s="9" t="inlineStr">
        <is>
          <t>Sector (canonical label)</t>
        </is>
      </c>
      <c r="B3" s="9" t="inlineStr">
        <is>
          <t>Score</t>
        </is>
      </c>
      <c r="C3" s="9" t="inlineStr">
        <is>
          <t>Risk band</t>
        </is>
      </c>
      <c r="D3" s="9" t="inlineStr">
        <is>
          <t>Config key</t>
        </is>
      </c>
    </row>
    <row r="4">
      <c r="A4" s="5" t="inlineStr">
        <is>
          <t>Crypto / Digital Assets Custody</t>
        </is>
      </c>
      <c r="B4" s="26" t="n">
        <v>4</v>
      </c>
      <c r="C4" s="5" t="inlineStr">
        <is>
          <t>4 — Very high</t>
        </is>
      </c>
      <c r="D4" s="6" t="inlineStr">
        <is>
          <t>crypto</t>
        </is>
      </c>
    </row>
    <row r="5">
      <c r="A5" s="5" t="inlineStr">
        <is>
          <t>Crypto / Digital Assets Exchange</t>
        </is>
      </c>
      <c r="B5" s="26" t="n">
        <v>4</v>
      </c>
      <c r="C5" s="5" t="inlineStr">
        <is>
          <t>4 — Very high</t>
        </is>
      </c>
      <c r="D5" s="6" t="inlineStr">
        <is>
          <t>crypto</t>
        </is>
      </c>
    </row>
    <row r="6">
      <c r="A6" s="5" t="inlineStr">
        <is>
          <t>Crypto / Web3 / DeFi</t>
        </is>
      </c>
      <c r="B6" s="26" t="n">
        <v>4</v>
      </c>
      <c r="C6" s="5" t="inlineStr">
        <is>
          <t>4 — Very high</t>
        </is>
      </c>
      <c r="D6" s="6" t="inlineStr">
        <is>
          <t>crypto</t>
        </is>
      </c>
    </row>
    <row r="7">
      <c r="A7" s="5" t="inlineStr">
        <is>
          <t>NFT / Gaming Assets</t>
        </is>
      </c>
      <c r="B7" s="26" t="n">
        <v>4</v>
      </c>
      <c r="C7" s="5" t="inlineStr">
        <is>
          <t>4 — Very high</t>
        </is>
      </c>
      <c r="D7" s="6" t="inlineStr">
        <is>
          <t>gaming</t>
        </is>
      </c>
    </row>
    <row r="8">
      <c r="A8" s="5" t="inlineStr">
        <is>
          <t>Online Casino / Sports Betting</t>
        </is>
      </c>
      <c r="B8" s="26" t="n">
        <v>4</v>
      </c>
      <c r="C8" s="5" t="inlineStr">
        <is>
          <t>4 — Very high</t>
        </is>
      </c>
      <c r="D8" s="6" t="inlineStr">
        <is>
          <t>betting</t>
        </is>
      </c>
    </row>
    <row r="9">
      <c r="A9" s="5" t="inlineStr">
        <is>
          <t>Private Banking</t>
        </is>
      </c>
      <c r="B9" s="26" t="n">
        <v>4</v>
      </c>
      <c r="C9" s="5" t="inlineStr">
        <is>
          <t>4 — Very high</t>
        </is>
      </c>
      <c r="D9" s="6" t="inlineStr">
        <is>
          <t>private banking</t>
        </is>
      </c>
    </row>
    <row r="10">
      <c r="A10" s="5" t="inlineStr">
        <is>
          <t>iGaming / Online Gambling</t>
        </is>
      </c>
      <c r="B10" s="26" t="n">
        <v>4</v>
      </c>
      <c r="C10" s="5" t="inlineStr">
        <is>
          <t>4 — Very high</t>
        </is>
      </c>
      <c r="D10" s="6" t="inlineStr">
        <is>
          <t>gambling</t>
        </is>
      </c>
    </row>
    <row r="11">
      <c r="A11" s="5" t="inlineStr">
        <is>
          <t>Accounting / Audit Firm</t>
        </is>
      </c>
      <c r="B11" s="26" t="n">
        <v>3</v>
      </c>
      <c r="C11" s="5" t="inlineStr">
        <is>
          <t>3 — High</t>
        </is>
      </c>
      <c r="D11" s="6" t="inlineStr">
        <is>
          <t>accounting</t>
        </is>
      </c>
    </row>
    <row r="12">
      <c r="A12" s="5" t="inlineStr">
        <is>
          <t>Charity / NGO / Non-Profit</t>
        </is>
      </c>
      <c r="B12" s="26" t="n">
        <v>3</v>
      </c>
      <c r="C12" s="5" t="inlineStr">
        <is>
          <t>3 — High</t>
        </is>
      </c>
      <c r="D12" s="6" t="inlineStr">
        <is>
          <t>charity</t>
        </is>
      </c>
    </row>
    <row r="13">
      <c r="A13" s="5" t="inlineStr">
        <is>
          <t>Construction</t>
        </is>
      </c>
      <c r="B13" s="26" t="n">
        <v>3</v>
      </c>
      <c r="C13" s="5" t="inlineStr">
        <is>
          <t>3 — High</t>
        </is>
      </c>
      <c r="D13" s="6" t="inlineStr">
        <is>
          <t>construction</t>
        </is>
      </c>
    </row>
    <row r="14">
      <c r="A14" s="5" t="inlineStr">
        <is>
          <t>E-Money / E-Wallet Provider</t>
        </is>
      </c>
      <c r="B14" s="26" t="n">
        <v>3</v>
      </c>
      <c r="C14" s="5" t="inlineStr">
        <is>
          <t>3 — High</t>
        </is>
      </c>
      <c r="D14" s="6" t="inlineStr">
        <is>
          <t>e-money</t>
        </is>
      </c>
    </row>
    <row r="15">
      <c r="A15" s="5" t="inlineStr">
        <is>
          <t>Family Office / Wealth Management</t>
        </is>
      </c>
      <c r="B15" s="26" t="n">
        <v>3</v>
      </c>
      <c r="C15" s="5" t="inlineStr">
        <is>
          <t>3 — High</t>
        </is>
      </c>
      <c r="D15" s="6" t="inlineStr">
        <is>
          <t>wealth management</t>
        </is>
      </c>
    </row>
    <row r="16">
      <c r="A16" s="5" t="inlineStr">
        <is>
          <t>Financial / Tax Advisory</t>
        </is>
      </c>
      <c r="B16" s="26" t="n">
        <v>3</v>
      </c>
      <c r="C16" s="5" t="inlineStr">
        <is>
          <t>3 — High</t>
        </is>
      </c>
      <c r="D16" s="6" t="inlineStr">
        <is>
          <t>financial / tax advisory</t>
        </is>
      </c>
    </row>
    <row r="17">
      <c r="A17" s="5" t="inlineStr">
        <is>
          <t>Fintech / Payments</t>
        </is>
      </c>
      <c r="B17" s="26" t="n">
        <v>3</v>
      </c>
      <c r="C17" s="5" t="inlineStr">
        <is>
          <t>3 — High</t>
        </is>
      </c>
      <c r="D17" s="6" t="inlineStr">
        <is>
          <t>fintech</t>
        </is>
      </c>
    </row>
    <row r="18">
      <c r="A18" s="5" t="inlineStr">
        <is>
          <t>Forex / FX Trading (Institutional)</t>
        </is>
      </c>
      <c r="B18" s="26" t="n">
        <v>3</v>
      </c>
      <c r="C18" s="5" t="inlineStr">
        <is>
          <t>3 — High</t>
        </is>
      </c>
      <c r="D18" s="6" t="inlineStr">
        <is>
          <t>forex</t>
        </is>
      </c>
    </row>
    <row r="19">
      <c r="A19" s="5" t="inlineStr">
        <is>
          <t>Forex / FX Trading (Retail)</t>
        </is>
      </c>
      <c r="B19" s="26" t="n">
        <v>3</v>
      </c>
      <c r="C19" s="5" t="inlineStr">
        <is>
          <t>3 — High</t>
        </is>
      </c>
      <c r="D19" s="6" t="inlineStr">
        <is>
          <t>forex</t>
        </is>
      </c>
    </row>
    <row r="20">
      <c r="A20" s="5" t="inlineStr">
        <is>
          <t>Import / Export</t>
        </is>
      </c>
      <c r="B20" s="26" t="n">
        <v>3</v>
      </c>
      <c r="C20" s="5" t="inlineStr">
        <is>
          <t>3 — High</t>
        </is>
      </c>
      <c r="D20" s="6" t="inlineStr">
        <is>
          <t>import</t>
        </is>
      </c>
    </row>
    <row r="21">
      <c r="A21" s="5" t="inlineStr">
        <is>
          <t>Investment Management</t>
        </is>
      </c>
      <c r="B21" s="26" t="n">
        <v>3</v>
      </c>
      <c r="C21" s="5" t="inlineStr">
        <is>
          <t>3 — High</t>
        </is>
      </c>
      <c r="D21" s="6" t="inlineStr">
        <is>
          <t>investment management</t>
        </is>
      </c>
    </row>
    <row r="22">
      <c r="A22" s="5" t="inlineStr">
        <is>
          <t>Law Firm / Legal Services</t>
        </is>
      </c>
      <c r="B22" s="26" t="n">
        <v>3</v>
      </c>
      <c r="C22" s="5" t="inlineStr">
        <is>
          <t>3 — High</t>
        </is>
      </c>
      <c r="D22" s="6" t="inlineStr">
        <is>
          <t>legal</t>
        </is>
      </c>
    </row>
    <row r="23">
      <c r="A23" s="5" t="inlineStr">
        <is>
          <t>MSB / Money Services Business</t>
        </is>
      </c>
      <c r="B23" s="26" t="n">
        <v>3</v>
      </c>
      <c r="C23" s="5" t="inlineStr">
        <is>
          <t>3 — High</t>
        </is>
      </c>
      <c r="D23" s="6" t="inlineStr">
        <is>
          <t>money services</t>
        </is>
      </c>
    </row>
    <row r="24">
      <c r="A24" s="5" t="inlineStr">
        <is>
          <t>Management Consulting</t>
        </is>
      </c>
      <c r="B24" s="26" t="n">
        <v>3</v>
      </c>
      <c r="C24" s="5" t="inlineStr">
        <is>
          <t>3 — High</t>
        </is>
      </c>
      <c r="D24" s="6" t="inlineStr">
        <is>
          <t>management consulting</t>
        </is>
      </c>
    </row>
    <row r="25">
      <c r="A25" s="5" t="inlineStr">
        <is>
          <t>Oil &amp; Gas / Energy Trading</t>
        </is>
      </c>
      <c r="B25" s="26" t="n">
        <v>3</v>
      </c>
      <c r="C25" s="5" t="inlineStr">
        <is>
          <t>3 — High</t>
        </is>
      </c>
      <c r="D25" s="6" t="inlineStr">
        <is>
          <t>oil</t>
        </is>
      </c>
    </row>
    <row r="26">
      <c r="A26" s="5" t="inlineStr">
        <is>
          <t>Precious Metals / Gems</t>
        </is>
      </c>
      <c r="B26" s="26" t="n">
        <v>3</v>
      </c>
      <c r="C26" s="5" t="inlineStr">
        <is>
          <t>3 — High</t>
        </is>
      </c>
      <c r="D26" s="6" t="inlineStr">
        <is>
          <t>precious metals</t>
        </is>
      </c>
    </row>
    <row r="27">
      <c r="A27" s="5" t="inlineStr">
        <is>
          <t>Real Estate (Commercial)</t>
        </is>
      </c>
      <c r="B27" s="26" t="n">
        <v>3</v>
      </c>
      <c r="C27" s="5" t="inlineStr">
        <is>
          <t>3 — High</t>
        </is>
      </c>
      <c r="D27" s="6" t="inlineStr">
        <is>
          <t>real estate</t>
        </is>
      </c>
    </row>
    <row r="28">
      <c r="A28" s="5" t="inlineStr">
        <is>
          <t>Real Estate (Development)</t>
        </is>
      </c>
      <c r="B28" s="26" t="n">
        <v>3</v>
      </c>
      <c r="C28" s="5" t="inlineStr">
        <is>
          <t>3 — High</t>
        </is>
      </c>
      <c r="D28" s="6" t="inlineStr">
        <is>
          <t>real estate</t>
        </is>
      </c>
    </row>
    <row r="29">
      <c r="A29" s="5" t="inlineStr">
        <is>
          <t>Remittance / Money Transfer</t>
        </is>
      </c>
      <c r="B29" s="26" t="n">
        <v>3</v>
      </c>
      <c r="C29" s="5" t="inlineStr">
        <is>
          <t>3 — High</t>
        </is>
      </c>
      <c r="D29" s="6" t="inlineStr">
        <is>
          <t>remittance</t>
        </is>
      </c>
    </row>
    <row r="30">
      <c r="A30" s="5" t="inlineStr">
        <is>
          <t>Banking-as-a-Service</t>
        </is>
      </c>
      <c r="B30" s="26" t="n">
        <v>2</v>
      </c>
      <c r="C30" s="5" t="inlineStr">
        <is>
          <t>2 — Medium</t>
        </is>
      </c>
      <c r="D30" s="6" t="inlineStr">
        <is>
          <t>banking</t>
        </is>
      </c>
    </row>
    <row r="31">
      <c r="A31" s="5" t="inlineStr">
        <is>
          <t>Cloud Services</t>
        </is>
      </c>
      <c r="B31" s="26" t="n">
        <v>2</v>
      </c>
      <c r="C31" s="5" t="inlineStr">
        <is>
          <t>2 — Medium</t>
        </is>
      </c>
      <c r="D31" s="6" t="inlineStr">
        <is>
          <t>cloud services</t>
        </is>
      </c>
    </row>
    <row r="32">
      <c r="A32" s="5" t="inlineStr">
        <is>
          <t>E-Commerce / Online Retail</t>
        </is>
      </c>
      <c r="B32" s="26" t="n">
        <v>2</v>
      </c>
      <c r="C32" s="5" t="inlineStr">
        <is>
          <t>2 — Medium</t>
        </is>
      </c>
      <c r="D32" s="6" t="inlineStr">
        <is>
          <t>e-commerce</t>
        </is>
      </c>
    </row>
    <row r="33">
      <c r="A33" s="5" t="inlineStr">
        <is>
          <t>Entertainment / Media</t>
        </is>
      </c>
      <c r="B33" s="26" t="n">
        <v>2</v>
      </c>
      <c r="C33" s="5" t="inlineStr">
        <is>
          <t>2 — Medium</t>
        </is>
      </c>
      <c r="D33" s="6" t="inlineStr">
        <is>
          <t>media</t>
        </is>
      </c>
    </row>
    <row r="34">
      <c r="A34" s="5" t="inlineStr">
        <is>
          <t>Healthcare / MedTech</t>
        </is>
      </c>
      <c r="B34" s="26" t="n">
        <v>2</v>
      </c>
      <c r="C34" s="5" t="inlineStr">
        <is>
          <t>2 — Medium</t>
        </is>
      </c>
      <c r="D34" s="6" t="inlineStr">
        <is>
          <t>healthcare</t>
        </is>
      </c>
    </row>
    <row r="35">
      <c r="A35" s="5" t="inlineStr">
        <is>
          <t>Insurance / InsurTech</t>
        </is>
      </c>
      <c r="B35" s="26" t="n">
        <v>2</v>
      </c>
      <c r="C35" s="5" t="inlineStr">
        <is>
          <t>2 — Medium</t>
        </is>
      </c>
      <c r="D35" s="6" t="inlineStr">
        <is>
          <t>insurance</t>
        </is>
      </c>
    </row>
    <row r="36">
      <c r="A36" s="5" t="inlineStr">
        <is>
          <t>Logistics / Freight Forwarding</t>
        </is>
      </c>
      <c r="B36" s="26" t="n">
        <v>2</v>
      </c>
      <c r="C36" s="5" t="inlineStr">
        <is>
          <t>2 — Medium</t>
        </is>
      </c>
      <c r="D36" s="6" t="inlineStr">
        <is>
          <t>logistics</t>
        </is>
      </c>
    </row>
    <row r="37">
      <c r="A37" s="5" t="inlineStr">
        <is>
          <t>Manufacturing</t>
        </is>
      </c>
      <c r="B37" s="26" t="n">
        <v>2</v>
      </c>
      <c r="C37" s="5" t="inlineStr">
        <is>
          <t>2 — Medium</t>
        </is>
      </c>
      <c r="D37" s="6" t="inlineStr">
        <is>
          <t>manufacturing</t>
        </is>
      </c>
    </row>
    <row r="38">
      <c r="A38" s="5" t="inlineStr">
        <is>
          <t>Media Technology</t>
        </is>
      </c>
      <c r="B38" s="26" t="n">
        <v>2</v>
      </c>
      <c r="C38" s="5" t="inlineStr">
        <is>
          <t>2 — Medium</t>
        </is>
      </c>
      <c r="D38" s="6" t="inlineStr">
        <is>
          <t>media</t>
        </is>
      </c>
    </row>
    <row r="39">
      <c r="A39" s="5" t="inlineStr">
        <is>
          <t>Software / SaaS</t>
        </is>
      </c>
      <c r="B39" s="26" t="n">
        <v>2</v>
      </c>
      <c r="C39" s="5" t="inlineStr">
        <is>
          <t>2 — Medium</t>
        </is>
      </c>
      <c r="D39" s="6" t="inlineStr">
        <is>
          <t>software</t>
        </is>
      </c>
    </row>
    <row r="40">
      <c r="A40" s="5" t="inlineStr">
        <is>
          <t>Telecommunications</t>
        </is>
      </c>
      <c r="B40" s="26" t="n">
        <v>2</v>
      </c>
      <c r="C40" s="5" t="inlineStr">
        <is>
          <t>2 — Medium</t>
        </is>
      </c>
      <c r="D40" s="6" t="inlineStr">
        <is>
          <t>telecommunications</t>
        </is>
      </c>
    </row>
    <row r="41">
      <c r="A41" s="5" t="inlineStr">
        <is>
          <t>Education / EdTech</t>
        </is>
      </c>
      <c r="B41" s="26" t="n">
        <v>1</v>
      </c>
      <c r="C41" s="5" t="inlineStr">
        <is>
          <t>1 — Low</t>
        </is>
      </c>
      <c r="D41" s="6" t="inlineStr">
        <is>
          <t>education</t>
        </is>
      </c>
    </row>
    <row r="42">
      <c r="A42" s="5" t="inlineStr">
        <is>
          <t>Government / Public Sector</t>
        </is>
      </c>
      <c r="B42" s="26" t="n">
        <v>1</v>
      </c>
      <c r="C42" s="5" t="inlineStr">
        <is>
          <t>1 — Low</t>
        </is>
      </c>
      <c r="D42" s="6" t="inlineStr">
        <is>
          <t>government</t>
        </is>
      </c>
    </row>
    <row r="44">
      <c r="A44" s="3" t="inlineStr">
        <is>
          <t>NOT MAPPED — these fail closed and block approval</t>
        </is>
      </c>
      <c r="B44" s="3" t="inlineStr"/>
      <c r="C44" s="3" t="inlineStr"/>
      <c r="D44" s="3" t="inlineStr"/>
    </row>
    <row r="45" ht="30" customHeight="1">
      <c r="A45" s="8" t="inlineStr">
        <is>
          <t>The portal offers these sectors but the model has no approved score for them. An application selecting one is scored by the legacy fallback AND flagged with an unresolved-mapping sentinel that blocks approval until resolved. Scoring them is Tier 1A (post-pilot).</t>
        </is>
      </c>
    </row>
    <row r="46">
      <c r="A46" s="27" t="inlineStr">
        <is>
          <t>Agricultural Commodities</t>
        </is>
      </c>
      <c r="B46" s="28" t="inlineStr">
        <is>
          <t>—</t>
        </is>
      </c>
      <c r="C46" s="27" t="inlineStr">
        <is>
          <t>Blocks approval</t>
        </is>
      </c>
      <c r="D46" s="27" t="inlineStr"/>
    </row>
    <row r="47">
      <c r="A47" s="27" t="inlineStr">
        <is>
          <t>Artificial Intelligence / ML</t>
        </is>
      </c>
      <c r="B47" s="28" t="inlineStr">
        <is>
          <t>—</t>
        </is>
      </c>
      <c r="C47" s="27" t="inlineStr">
        <is>
          <t>Blocks approval</t>
        </is>
      </c>
      <c r="D47" s="27" t="inlineStr"/>
    </row>
    <row r="48">
      <c r="A48" s="27" t="inlineStr">
        <is>
          <t>Bureau de Change</t>
        </is>
      </c>
      <c r="B48" s="28" t="inlineStr">
        <is>
          <t>—</t>
        </is>
      </c>
      <c r="C48" s="27" t="inlineStr">
        <is>
          <t>Blocks approval</t>
        </is>
      </c>
      <c r="D48" s="27" t="inlineStr"/>
    </row>
    <row r="49">
      <c r="A49" s="27" t="inlineStr">
        <is>
          <t>Capital Markets / Brokerage</t>
        </is>
      </c>
      <c r="B49" s="28" t="inlineStr">
        <is>
          <t>—</t>
        </is>
      </c>
      <c r="C49" s="27" t="inlineStr">
        <is>
          <t>Blocks approval</t>
        </is>
      </c>
      <c r="D49" s="27" t="inlineStr"/>
    </row>
    <row r="50">
      <c r="A50" s="27" t="inlineStr">
        <is>
          <t>Commodities Trading</t>
        </is>
      </c>
      <c r="B50" s="28" t="inlineStr">
        <is>
          <t>—</t>
        </is>
      </c>
      <c r="C50" s="27" t="inlineStr">
        <is>
          <t>Blocks approval</t>
        </is>
      </c>
      <c r="D50" s="27" t="inlineStr"/>
    </row>
    <row r="51">
      <c r="A51" s="27" t="inlineStr">
        <is>
          <t>Corporate Services Provider</t>
        </is>
      </c>
      <c r="B51" s="28" t="inlineStr">
        <is>
          <t>—</t>
        </is>
      </c>
      <c r="C51" s="27" t="inlineStr">
        <is>
          <t>Blocks approval</t>
        </is>
      </c>
      <c r="D51" s="27" t="inlineStr"/>
    </row>
    <row r="52">
      <c r="A52" s="27" t="inlineStr">
        <is>
          <t>Crowdfunding / P2P Lending</t>
        </is>
      </c>
      <c r="B52" s="28" t="inlineStr">
        <is>
          <t>—</t>
        </is>
      </c>
      <c r="C52" s="27" t="inlineStr">
        <is>
          <t>Blocks approval</t>
        </is>
      </c>
      <c r="D52" s="27" t="inlineStr"/>
    </row>
    <row r="53">
      <c r="A53" s="27" t="inlineStr">
        <is>
          <t>Cybersecurity</t>
        </is>
      </c>
      <c r="B53" s="28" t="inlineStr">
        <is>
          <t>—</t>
        </is>
      </c>
      <c r="C53" s="27" t="inlineStr">
        <is>
          <t>Blocks approval</t>
        </is>
      </c>
      <c r="D53" s="27" t="inlineStr"/>
    </row>
    <row r="54">
      <c r="A54" s="27" t="inlineStr">
        <is>
          <t>Fashion / Luxury Goods</t>
        </is>
      </c>
      <c r="B54" s="28" t="inlineStr">
        <is>
          <t>—</t>
        </is>
      </c>
      <c r="C54" s="27" t="inlineStr">
        <is>
          <t>Blocks approval</t>
        </is>
      </c>
      <c r="D54" s="27" t="inlineStr"/>
    </row>
    <row r="55">
      <c r="A55" s="27" t="inlineStr">
        <is>
          <t>Food &amp; Beverage</t>
        </is>
      </c>
      <c r="B55" s="28" t="inlineStr">
        <is>
          <t>—</t>
        </is>
      </c>
      <c r="C55" s="27" t="inlineStr">
        <is>
          <t>Blocks approval</t>
        </is>
      </c>
      <c r="D55" s="27" t="inlineStr"/>
    </row>
    <row r="56">
      <c r="A56" s="27" t="inlineStr">
        <is>
          <t>Hedge Fund</t>
        </is>
      </c>
      <c r="B56" s="28" t="inlineStr">
        <is>
          <t>—</t>
        </is>
      </c>
      <c r="C56" s="27" t="inlineStr">
        <is>
          <t>Blocks approval</t>
        </is>
      </c>
      <c r="D56" s="27" t="inlineStr"/>
    </row>
    <row r="57">
      <c r="A57" s="27" t="inlineStr">
        <is>
          <t>IT Services / Outsourcing</t>
        </is>
      </c>
      <c r="B57" s="28" t="inlineStr">
        <is>
          <t>—</t>
        </is>
      </c>
      <c r="C57" s="27" t="inlineStr">
        <is>
          <t>Blocks approval</t>
        </is>
      </c>
      <c r="D57" s="27" t="inlineStr"/>
    </row>
    <row r="58">
      <c r="A58" s="27" t="inlineStr">
        <is>
          <t>Lending / Credit Services</t>
        </is>
      </c>
      <c r="B58" s="28" t="inlineStr">
        <is>
          <t>—</t>
        </is>
      </c>
      <c r="C58" s="27" t="inlineStr">
        <is>
          <t>Blocks approval</t>
        </is>
      </c>
      <c r="D58" s="27" t="inlineStr"/>
    </row>
    <row r="59">
      <c r="A59" s="27" t="inlineStr">
        <is>
          <t>Licensed Brokerage</t>
        </is>
      </c>
      <c r="B59" s="28" t="inlineStr">
        <is>
          <t>—</t>
        </is>
      </c>
      <c r="C59" s="27" t="inlineStr">
        <is>
          <t>Blocks approval</t>
        </is>
      </c>
      <c r="D59" s="27" t="inlineStr"/>
    </row>
    <row r="60">
      <c r="A60" s="27" t="inlineStr">
        <is>
          <t>Other</t>
        </is>
      </c>
      <c r="B60" s="28" t="inlineStr">
        <is>
          <t>—</t>
        </is>
      </c>
      <c r="C60" s="27" t="inlineStr">
        <is>
          <t>Blocks approval</t>
        </is>
      </c>
      <c r="D60" s="27" t="inlineStr"/>
    </row>
    <row r="61">
      <c r="A61" s="27" t="inlineStr">
        <is>
          <t>Payment Processing / Gateway</t>
        </is>
      </c>
      <c r="B61" s="28" t="inlineStr">
        <is>
          <t>—</t>
        </is>
      </c>
      <c r="C61" s="27" t="inlineStr">
        <is>
          <t>Blocks approval</t>
        </is>
      </c>
      <c r="D61" s="27" t="inlineStr"/>
    </row>
    <row r="62">
      <c r="A62" s="27" t="inlineStr">
        <is>
          <t>Private Equity / Venture Capital</t>
        </is>
      </c>
      <c r="B62" s="28" t="inlineStr">
        <is>
          <t>—</t>
        </is>
      </c>
      <c r="C62" s="27" t="inlineStr">
        <is>
          <t>Blocks approval</t>
        </is>
      </c>
      <c r="D62" s="27" t="inlineStr"/>
    </row>
    <row r="63">
      <c r="A63" s="27" t="inlineStr">
        <is>
          <t>Streaming / Content Platforms</t>
        </is>
      </c>
      <c r="B63" s="28" t="inlineStr">
        <is>
          <t>—</t>
        </is>
      </c>
      <c r="C63" s="27" t="inlineStr">
        <is>
          <t>Blocks approval</t>
        </is>
      </c>
      <c r="D63" s="27" t="inlineStr"/>
    </row>
    <row r="64">
      <c r="A64" s="27" t="inlineStr">
        <is>
          <t>Travel &amp; Hospitality</t>
        </is>
      </c>
      <c r="B64" s="28" t="inlineStr">
        <is>
          <t>—</t>
        </is>
      </c>
      <c r="C64" s="27" t="inlineStr">
        <is>
          <t>Blocks approval</t>
        </is>
      </c>
      <c r="D64" s="27" t="inlineStr"/>
    </row>
    <row r="65">
      <c r="A65" s="27" t="inlineStr">
        <is>
          <t>Trust / Fiduciary Services</t>
        </is>
      </c>
      <c r="B65" s="28" t="inlineStr">
        <is>
          <t>—</t>
        </is>
      </c>
      <c r="C65" s="27" t="inlineStr">
        <is>
          <t>Blocks approval</t>
        </is>
      </c>
      <c r="D65" s="27" t="inlineStr"/>
    </row>
    <row r="66">
      <c r="A66" s="27" t="inlineStr">
        <is>
          <t>Video Games / Esports</t>
        </is>
      </c>
      <c r="B66" s="28" t="inlineStr">
        <is>
          <t>—</t>
        </is>
      </c>
      <c r="C66" s="27" t="inlineStr">
        <is>
          <t>Blocks approval</t>
        </is>
      </c>
      <c r="D66" s="27" t="inlineStr"/>
    </row>
    <row r="67">
      <c r="A67" s="27" t="inlineStr">
        <is>
          <t>Wholesale / Distribution</t>
        </is>
      </c>
      <c r="B67" s="28" t="inlineStr">
        <is>
          <t>—</t>
        </is>
      </c>
      <c r="C67" s="27" t="inlineStr">
        <is>
          <t>Blocks approval</t>
        </is>
      </c>
      <c r="D67" s="27" t="inlineStr"/>
    </row>
  </sheetData>
  <mergeCells count="1">
    <mergeCell ref="A45:D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8"/>
  <sheetViews>
    <sheetView workbookViewId="0">
      <pane ySplit="4" topLeftCell="A5" activePane="bottomLeft" state="frozen"/>
      <selection pane="bottomLeft" activeCell="A1" sqref="A1"/>
    </sheetView>
  </sheetViews>
  <sheetFormatPr baseColWidth="8" defaultRowHeight="15"/>
  <cols>
    <col width="38" customWidth="1" min="1" max="1"/>
    <col width="10" customWidth="1" min="2" max="2"/>
    <col width="20" customWidth="1" min="3" max="3"/>
    <col width="40" customWidth="1" min="4" max="4"/>
  </cols>
  <sheetData>
    <row r="1">
      <c r="A1" s="1" t="inlineStr">
        <is>
          <t>Country / jurisdiction scores (D2)</t>
        </is>
      </c>
    </row>
    <row r="2">
      <c r="A2" s="8" t="inlineStr">
        <is>
          <t>Used for incorporation country, UBO and director nationalities, intermediary jurisdictions, countries of operation and target markets.</t>
        </is>
      </c>
    </row>
    <row r="4">
      <c r="A4" s="9" t="inlineStr">
        <is>
          <t>Country</t>
        </is>
      </c>
      <c r="B4" s="9" t="inlineStr">
        <is>
          <t>Score</t>
        </is>
      </c>
      <c r="C4" s="9" t="inlineStr">
        <is>
          <t>Risk band</t>
        </is>
      </c>
      <c r="D4" s="9" t="inlineStr">
        <is>
          <t>Note</t>
        </is>
      </c>
    </row>
    <row r="5">
      <c r="A5" s="5" t="inlineStr">
        <is>
          <t>Afghanistan</t>
        </is>
      </c>
      <c r="B5" s="26" t="n">
        <v>4</v>
      </c>
      <c r="C5" s="5" t="inlineStr">
        <is>
          <t>4 — Very high</t>
        </is>
      </c>
      <c r="D5" s="6" t="inlineStr"/>
    </row>
    <row r="6">
      <c r="A6" s="5" t="inlineStr">
        <is>
          <t>Belarus</t>
        </is>
      </c>
      <c r="B6" s="26" t="n">
        <v>4</v>
      </c>
      <c r="C6" s="5" t="inlineStr">
        <is>
          <t>4 — Very high</t>
        </is>
      </c>
      <c r="D6" s="6" t="inlineStr"/>
    </row>
    <row r="7">
      <c r="A7" s="5" t="inlineStr">
        <is>
          <t>British Virgin Islands</t>
        </is>
      </c>
      <c r="B7" s="26" t="n">
        <v>4</v>
      </c>
      <c r="C7" s="5" t="inlineStr">
        <is>
          <t>4 — Very high</t>
        </is>
      </c>
      <c r="D7" s="6" t="inlineStr">
        <is>
          <t>Secrecy jurisdiction — forced to 4 as an intermediary jurisdiction</t>
        </is>
      </c>
    </row>
    <row r="8">
      <c r="A8" s="5" t="inlineStr">
        <is>
          <t>Bvi</t>
        </is>
      </c>
      <c r="B8" s="26" t="n">
        <v>4</v>
      </c>
      <c r="C8" s="5" t="inlineStr">
        <is>
          <t>4 — Very high</t>
        </is>
      </c>
      <c r="D8" s="6" t="inlineStr">
        <is>
          <t>Secrecy jurisdiction — forced to 4 as an intermediary jurisdiction</t>
        </is>
      </c>
    </row>
    <row r="9">
      <c r="A9" s="5" t="inlineStr">
        <is>
          <t>Cayman Islands</t>
        </is>
      </c>
      <c r="B9" s="26" t="n">
        <v>4</v>
      </c>
      <c r="C9" s="5" t="inlineStr">
        <is>
          <t>4 — Very high</t>
        </is>
      </c>
      <c r="D9" s="6" t="inlineStr">
        <is>
          <t>Secrecy jurisdiction — forced to 4 as an intermediary jurisdiction</t>
        </is>
      </c>
    </row>
    <row r="10">
      <c r="A10" s="5" t="inlineStr">
        <is>
          <t>Crimea</t>
        </is>
      </c>
      <c r="B10" s="26" t="n">
        <v>4</v>
      </c>
      <c r="C10" s="5" t="inlineStr">
        <is>
          <t>4 — Very high</t>
        </is>
      </c>
      <c r="D10" s="6" t="inlineStr"/>
    </row>
    <row r="11">
      <c r="A11" s="5" t="inlineStr">
        <is>
          <t>Cuba</t>
        </is>
      </c>
      <c r="B11" s="26" t="n">
        <v>4</v>
      </c>
      <c r="C11" s="5" t="inlineStr">
        <is>
          <t>4 — Very high</t>
        </is>
      </c>
      <c r="D11" s="6" t="inlineStr"/>
    </row>
    <row r="12">
      <c r="A12" s="5" t="inlineStr">
        <is>
          <t>Eritrea</t>
        </is>
      </c>
      <c r="B12" s="26" t="n">
        <v>4</v>
      </c>
      <c r="C12" s="5" t="inlineStr">
        <is>
          <t>4 — Very high</t>
        </is>
      </c>
      <c r="D12" s="6" t="inlineStr"/>
    </row>
    <row r="13">
      <c r="A13" s="5" t="inlineStr">
        <is>
          <t>Iran</t>
        </is>
      </c>
      <c r="B13" s="26" t="n">
        <v>4</v>
      </c>
      <c r="C13" s="5" t="inlineStr">
        <is>
          <t>4 — Very high</t>
        </is>
      </c>
      <c r="D13" s="6" t="inlineStr"/>
    </row>
    <row r="14">
      <c r="A14" s="5" t="inlineStr">
        <is>
          <t>Libya</t>
        </is>
      </c>
      <c r="B14" s="26" t="n">
        <v>4</v>
      </c>
      <c r="C14" s="5" t="inlineStr">
        <is>
          <t>4 — Very high</t>
        </is>
      </c>
      <c r="D14" s="6" t="inlineStr"/>
    </row>
    <row r="15">
      <c r="A15" s="5" t="inlineStr">
        <is>
          <t>Myanmar</t>
        </is>
      </c>
      <c r="B15" s="26" t="n">
        <v>4</v>
      </c>
      <c r="C15" s="5" t="inlineStr">
        <is>
          <t>4 — Very high</t>
        </is>
      </c>
      <c r="D15" s="6" t="inlineStr"/>
    </row>
    <row r="16">
      <c r="A16" s="5" t="inlineStr">
        <is>
          <t>North Korea</t>
        </is>
      </c>
      <c r="B16" s="26" t="n">
        <v>4</v>
      </c>
      <c r="C16" s="5" t="inlineStr">
        <is>
          <t>4 — Very high</t>
        </is>
      </c>
      <c r="D16" s="6" t="inlineStr"/>
    </row>
    <row r="17">
      <c r="A17" s="5" t="inlineStr">
        <is>
          <t>Panama</t>
        </is>
      </c>
      <c r="B17" s="26" t="n">
        <v>4</v>
      </c>
      <c r="C17" s="5" t="inlineStr">
        <is>
          <t>4 — Very high</t>
        </is>
      </c>
      <c r="D17" s="6" t="inlineStr">
        <is>
          <t>Secrecy jurisdiction — forced to 4 as an intermediary jurisdiction</t>
        </is>
      </c>
    </row>
    <row r="18">
      <c r="A18" s="5" t="inlineStr">
        <is>
          <t>Russia</t>
        </is>
      </c>
      <c r="B18" s="26" t="n">
        <v>4</v>
      </c>
      <c r="C18" s="5" t="inlineStr">
        <is>
          <t>4 — Very high</t>
        </is>
      </c>
      <c r="D18" s="6" t="inlineStr"/>
    </row>
    <row r="19">
      <c r="A19" s="5" t="inlineStr">
        <is>
          <t>Somalia</t>
        </is>
      </c>
      <c r="B19" s="26" t="n">
        <v>4</v>
      </c>
      <c r="C19" s="5" t="inlineStr">
        <is>
          <t>4 — Very high</t>
        </is>
      </c>
      <c r="D19" s="6" t="inlineStr"/>
    </row>
    <row r="20">
      <c r="A20" s="5" t="inlineStr">
        <is>
          <t>Sudan</t>
        </is>
      </c>
      <c r="B20" s="26" t="n">
        <v>4</v>
      </c>
      <c r="C20" s="5" t="inlineStr">
        <is>
          <t>4 — Very high</t>
        </is>
      </c>
      <c r="D20" s="6" t="inlineStr"/>
    </row>
    <row r="21">
      <c r="A21" s="5" t="inlineStr">
        <is>
          <t>Syria</t>
        </is>
      </c>
      <c r="B21" s="26" t="n">
        <v>4</v>
      </c>
      <c r="C21" s="5" t="inlineStr">
        <is>
          <t>4 — Very high</t>
        </is>
      </c>
      <c r="D21" s="6" t="inlineStr"/>
    </row>
    <row r="22">
      <c r="A22" s="5" t="inlineStr">
        <is>
          <t>Algeria</t>
        </is>
      </c>
      <c r="B22" s="26" t="n">
        <v>3</v>
      </c>
      <c r="C22" s="5" t="inlineStr">
        <is>
          <t>3 — High</t>
        </is>
      </c>
      <c r="D22" s="6" t="inlineStr"/>
    </row>
    <row r="23">
      <c r="A23" s="5" t="inlineStr">
        <is>
          <t>Bermuda</t>
        </is>
      </c>
      <c r="B23" s="26" t="n">
        <v>3</v>
      </c>
      <c r="C23" s="5" t="inlineStr">
        <is>
          <t>3 — High</t>
        </is>
      </c>
      <c r="D23" s="6" t="inlineStr">
        <is>
          <t>Secrecy jurisdiction — forced to 4 as an intermediary jurisdiction</t>
        </is>
      </c>
    </row>
    <row r="24">
      <c r="A24" s="5" t="inlineStr">
        <is>
          <t>Burkina Faso</t>
        </is>
      </c>
      <c r="B24" s="26" t="n">
        <v>3</v>
      </c>
      <c r="C24" s="5" t="inlineStr">
        <is>
          <t>3 — High</t>
        </is>
      </c>
      <c r="D24" s="6" t="inlineStr"/>
    </row>
    <row r="25">
      <c r="A25" s="5" t="inlineStr">
        <is>
          <t>Cameroon</t>
        </is>
      </c>
      <c r="B25" s="26" t="n">
        <v>3</v>
      </c>
      <c r="C25" s="5" t="inlineStr">
        <is>
          <t>3 — High</t>
        </is>
      </c>
      <c r="D25" s="6" t="inlineStr"/>
    </row>
    <row r="26">
      <c r="A26" s="5" t="inlineStr">
        <is>
          <t>Democratic Republic Of Congo</t>
        </is>
      </c>
      <c r="B26" s="26" t="n">
        <v>3</v>
      </c>
      <c r="C26" s="5" t="inlineStr">
        <is>
          <t>3 — High</t>
        </is>
      </c>
      <c r="D26" s="6" t="inlineStr"/>
    </row>
    <row r="27">
      <c r="A27" s="5" t="inlineStr">
        <is>
          <t>Haiti</t>
        </is>
      </c>
      <c r="B27" s="26" t="n">
        <v>3</v>
      </c>
      <c r="C27" s="5" t="inlineStr">
        <is>
          <t>3 — High</t>
        </is>
      </c>
      <c r="D27" s="6" t="inlineStr"/>
    </row>
    <row r="28">
      <c r="A28" s="5" t="inlineStr">
        <is>
          <t>Iraq</t>
        </is>
      </c>
      <c r="B28" s="26" t="n">
        <v>3</v>
      </c>
      <c r="C28" s="5" t="inlineStr">
        <is>
          <t>3 — High</t>
        </is>
      </c>
      <c r="D28" s="6" t="inlineStr"/>
    </row>
    <row r="29">
      <c r="A29" s="5" t="inlineStr">
        <is>
          <t>Kenya</t>
        </is>
      </c>
      <c r="B29" s="26" t="n">
        <v>3</v>
      </c>
      <c r="C29" s="5" t="inlineStr">
        <is>
          <t>3 — High</t>
        </is>
      </c>
      <c r="D29" s="6" t="inlineStr"/>
    </row>
    <row r="30">
      <c r="A30" s="5" t="inlineStr">
        <is>
          <t>Laos</t>
        </is>
      </c>
      <c r="B30" s="26" t="n">
        <v>3</v>
      </c>
      <c r="C30" s="5" t="inlineStr">
        <is>
          <t>3 — High</t>
        </is>
      </c>
      <c r="D30" s="6" t="inlineStr"/>
    </row>
    <row r="31">
      <c r="A31" s="5" t="inlineStr">
        <is>
          <t>Lebanon</t>
        </is>
      </c>
      <c r="B31" s="26" t="n">
        <v>3</v>
      </c>
      <c r="C31" s="5" t="inlineStr">
        <is>
          <t>3 — High</t>
        </is>
      </c>
      <c r="D31" s="6" t="inlineStr"/>
    </row>
    <row r="32">
      <c r="A32" s="5" t="inlineStr">
        <is>
          <t>Mali</t>
        </is>
      </c>
      <c r="B32" s="26" t="n">
        <v>3</v>
      </c>
      <c r="C32" s="5" t="inlineStr">
        <is>
          <t>3 — High</t>
        </is>
      </c>
      <c r="D32" s="6" t="inlineStr"/>
    </row>
    <row r="33">
      <c r="A33" s="5" t="inlineStr">
        <is>
          <t>Marshall Islands</t>
        </is>
      </c>
      <c r="B33" s="26" t="n">
        <v>3</v>
      </c>
      <c r="C33" s="5" t="inlineStr">
        <is>
          <t>3 — High</t>
        </is>
      </c>
      <c r="D33" s="6" t="inlineStr">
        <is>
          <t>Secrecy jurisdiction — forced to 4 as an intermediary jurisdiction</t>
        </is>
      </c>
    </row>
    <row r="34">
      <c r="A34" s="5" t="inlineStr">
        <is>
          <t>Monaco</t>
        </is>
      </c>
      <c r="B34" s="26" t="n">
        <v>3</v>
      </c>
      <c r="C34" s="5" t="inlineStr">
        <is>
          <t>3 — High</t>
        </is>
      </c>
      <c r="D34" s="6" t="inlineStr"/>
    </row>
    <row r="35">
      <c r="A35" s="5" t="inlineStr">
        <is>
          <t>Mozambique</t>
        </is>
      </c>
      <c r="B35" s="26" t="n">
        <v>3</v>
      </c>
      <c r="C35" s="5" t="inlineStr">
        <is>
          <t>3 — High</t>
        </is>
      </c>
      <c r="D35" s="6" t="inlineStr"/>
    </row>
    <row r="36">
      <c r="A36" s="5" t="inlineStr">
        <is>
          <t>Nigeria</t>
        </is>
      </c>
      <c r="B36" s="26" t="n">
        <v>3</v>
      </c>
      <c r="C36" s="5" t="inlineStr">
        <is>
          <t>3 — High</t>
        </is>
      </c>
      <c r="D36" s="6" t="inlineStr"/>
    </row>
    <row r="37">
      <c r="A37" s="5" t="inlineStr">
        <is>
          <t>Philippines</t>
        </is>
      </c>
      <c r="B37" s="26" t="n">
        <v>3</v>
      </c>
      <c r="C37" s="5" t="inlineStr">
        <is>
          <t>3 — High</t>
        </is>
      </c>
      <c r="D37" s="6" t="inlineStr"/>
    </row>
    <row r="38">
      <c r="A38" s="5" t="inlineStr">
        <is>
          <t>Samoa</t>
        </is>
      </c>
      <c r="B38" s="26" t="n">
        <v>3</v>
      </c>
      <c r="C38" s="5" t="inlineStr">
        <is>
          <t>3 — High</t>
        </is>
      </c>
      <c r="D38" s="6" t="inlineStr">
        <is>
          <t>Secrecy jurisdiction — forced to 4 as an intermediary jurisdiction</t>
        </is>
      </c>
    </row>
    <row r="39">
      <c r="A39" s="5" t="inlineStr">
        <is>
          <t>Senegal</t>
        </is>
      </c>
      <c r="B39" s="26" t="n">
        <v>3</v>
      </c>
      <c r="C39" s="5" t="inlineStr">
        <is>
          <t>3 — High</t>
        </is>
      </c>
      <c r="D39" s="6" t="inlineStr"/>
    </row>
    <row r="40">
      <c r="A40" s="5" t="inlineStr">
        <is>
          <t>South Africa</t>
        </is>
      </c>
      <c r="B40" s="26" t="n">
        <v>3</v>
      </c>
      <c r="C40" s="5" t="inlineStr">
        <is>
          <t>3 — High</t>
        </is>
      </c>
      <c r="D40" s="6" t="inlineStr"/>
    </row>
    <row r="41">
      <c r="A41" s="5" t="inlineStr">
        <is>
          <t>South Sudan</t>
        </is>
      </c>
      <c r="B41" s="26" t="n">
        <v>3</v>
      </c>
      <c r="C41" s="5" t="inlineStr">
        <is>
          <t>3 — High</t>
        </is>
      </c>
      <c r="D41" s="6" t="inlineStr"/>
    </row>
    <row r="42">
      <c r="A42" s="5" t="inlineStr">
        <is>
          <t>Tanzania</t>
        </is>
      </c>
      <c r="B42" s="26" t="n">
        <v>3</v>
      </c>
      <c r="C42" s="5" t="inlineStr">
        <is>
          <t>3 — High</t>
        </is>
      </c>
      <c r="D42" s="6" t="inlineStr"/>
    </row>
    <row r="43">
      <c r="A43" s="5" t="inlineStr">
        <is>
          <t>Vanuatu</t>
        </is>
      </c>
      <c r="B43" s="26" t="n">
        <v>3</v>
      </c>
      <c r="C43" s="5" t="inlineStr">
        <is>
          <t>3 — High</t>
        </is>
      </c>
      <c r="D43" s="6" t="inlineStr">
        <is>
          <t>Secrecy jurisdiction — forced to 4 as an intermediary jurisdiction</t>
        </is>
      </c>
    </row>
    <row r="44">
      <c r="A44" s="5" t="inlineStr">
        <is>
          <t>Venezuela</t>
        </is>
      </c>
      <c r="B44" s="26" t="n">
        <v>3</v>
      </c>
      <c r="C44" s="5" t="inlineStr">
        <is>
          <t>3 — High</t>
        </is>
      </c>
      <c r="D44" s="6" t="inlineStr"/>
    </row>
    <row r="45">
      <c r="A45" s="5" t="inlineStr">
        <is>
          <t>Vietnam</t>
        </is>
      </c>
      <c r="B45" s="26" t="n">
        <v>3</v>
      </c>
      <c r="C45" s="5" t="inlineStr">
        <is>
          <t>3 — High</t>
        </is>
      </c>
      <c r="D45" s="6" t="inlineStr"/>
    </row>
    <row r="46">
      <c r="A46" s="5" t="inlineStr">
        <is>
          <t>Yemen</t>
        </is>
      </c>
      <c r="B46" s="26" t="n">
        <v>3</v>
      </c>
      <c r="C46" s="5" t="inlineStr">
        <is>
          <t>3 — High</t>
        </is>
      </c>
      <c r="D46" s="6" t="inlineStr"/>
    </row>
    <row r="47">
      <c r="A47" s="5" t="inlineStr">
        <is>
          <t>Bahrain</t>
        </is>
      </c>
      <c r="B47" s="26" t="n">
        <v>2</v>
      </c>
      <c r="C47" s="5" t="inlineStr">
        <is>
          <t>2 — Medium</t>
        </is>
      </c>
      <c r="D47" s="6" t="inlineStr"/>
    </row>
    <row r="48">
      <c r="A48" s="5" t="inlineStr">
        <is>
          <t>Botswana</t>
        </is>
      </c>
      <c r="B48" s="26" t="n">
        <v>2</v>
      </c>
      <c r="C48" s="5" t="inlineStr">
        <is>
          <t>2 — Medium</t>
        </is>
      </c>
      <c r="D48" s="6" t="inlineStr"/>
    </row>
    <row r="49">
      <c r="A49" s="5" t="inlineStr">
        <is>
          <t>Brazil</t>
        </is>
      </c>
      <c r="B49" s="26" t="n">
        <v>2</v>
      </c>
      <c r="C49" s="5" t="inlineStr">
        <is>
          <t>2 — Medium</t>
        </is>
      </c>
      <c r="D49" s="6" t="inlineStr"/>
    </row>
    <row r="50">
      <c r="A50" s="5" t="inlineStr">
        <is>
          <t>Chile</t>
        </is>
      </c>
      <c r="B50" s="26" t="n">
        <v>2</v>
      </c>
      <c r="C50" s="5" t="inlineStr">
        <is>
          <t>2 — Medium</t>
        </is>
      </c>
      <c r="D50" s="6" t="inlineStr"/>
    </row>
    <row r="51">
      <c r="A51" s="5" t="inlineStr">
        <is>
          <t>China</t>
        </is>
      </c>
      <c r="B51" s="26" t="n">
        <v>2</v>
      </c>
      <c r="C51" s="5" t="inlineStr">
        <is>
          <t>2 — Medium</t>
        </is>
      </c>
      <c r="D51" s="6" t="inlineStr"/>
    </row>
    <row r="52">
      <c r="A52" s="5" t="inlineStr">
        <is>
          <t>Estonia</t>
        </is>
      </c>
      <c r="B52" s="26" t="n">
        <v>2</v>
      </c>
      <c r="C52" s="5" t="inlineStr">
        <is>
          <t>2 — Medium</t>
        </is>
      </c>
      <c r="D52" s="6" t="inlineStr"/>
    </row>
    <row r="53">
      <c r="A53" s="5" t="inlineStr">
        <is>
          <t>Ghana</t>
        </is>
      </c>
      <c r="B53" s="26" t="n">
        <v>2</v>
      </c>
      <c r="C53" s="5" t="inlineStr">
        <is>
          <t>2 — Medium</t>
        </is>
      </c>
      <c r="D53" s="6" t="inlineStr"/>
    </row>
    <row r="54">
      <c r="A54" s="5" t="inlineStr">
        <is>
          <t>Guernsey</t>
        </is>
      </c>
      <c r="B54" s="26" t="n">
        <v>2</v>
      </c>
      <c r="C54" s="5" t="inlineStr">
        <is>
          <t>2 — Medium</t>
        </is>
      </c>
      <c r="D54" s="6" t="inlineStr">
        <is>
          <t>Secrecy jurisdiction — forced to 4 as an intermediary jurisdiction</t>
        </is>
      </c>
    </row>
    <row r="55">
      <c r="A55" s="5" t="inlineStr">
        <is>
          <t>India</t>
        </is>
      </c>
      <c r="B55" s="26" t="n">
        <v>2</v>
      </c>
      <c r="C55" s="5" t="inlineStr">
        <is>
          <t>2 — Medium</t>
        </is>
      </c>
      <c r="D55" s="6" t="inlineStr"/>
    </row>
    <row r="56">
      <c r="A56" s="5" t="inlineStr">
        <is>
          <t>Indonesia</t>
        </is>
      </c>
      <c r="B56" s="26" t="n">
        <v>2</v>
      </c>
      <c r="C56" s="5" t="inlineStr">
        <is>
          <t>2 — Medium</t>
        </is>
      </c>
      <c r="D56" s="6" t="inlineStr"/>
    </row>
    <row r="57">
      <c r="A57" s="5" t="inlineStr">
        <is>
          <t>Isle Of Man</t>
        </is>
      </c>
      <c r="B57" s="26" t="n">
        <v>2</v>
      </c>
      <c r="C57" s="5" t="inlineStr">
        <is>
          <t>2 — Medium</t>
        </is>
      </c>
      <c r="D57" s="6" t="inlineStr">
        <is>
          <t>Secrecy jurisdiction — forced to 4 as an intermediary jurisdiction</t>
        </is>
      </c>
    </row>
    <row r="58">
      <c r="A58" s="5" t="inlineStr">
        <is>
          <t>Ivory Coast</t>
        </is>
      </c>
      <c r="B58" s="26" t="n">
        <v>2</v>
      </c>
      <c r="C58" s="5" t="inlineStr">
        <is>
          <t>2 — Medium</t>
        </is>
      </c>
      <c r="D58" s="6" t="inlineStr"/>
    </row>
    <row r="59">
      <c r="A59" s="5" t="inlineStr">
        <is>
          <t>Jersey</t>
        </is>
      </c>
      <c r="B59" s="26" t="n">
        <v>2</v>
      </c>
      <c r="C59" s="5" t="inlineStr">
        <is>
          <t>2 — Medium</t>
        </is>
      </c>
      <c r="D59" s="6" t="inlineStr">
        <is>
          <t>Secrecy jurisdiction — forced to 4 as an intermediary jurisdiction</t>
        </is>
      </c>
    </row>
    <row r="60">
      <c r="A60" s="5" t="inlineStr">
        <is>
          <t>Jordan</t>
        </is>
      </c>
      <c r="B60" s="26" t="n">
        <v>2</v>
      </c>
      <c r="C60" s="5" t="inlineStr">
        <is>
          <t>2 — Medium</t>
        </is>
      </c>
      <c r="D60" s="6" t="inlineStr"/>
    </row>
    <row r="61">
      <c r="A61" s="5" t="inlineStr">
        <is>
          <t>Kuwait</t>
        </is>
      </c>
      <c r="B61" s="26" t="n">
        <v>2</v>
      </c>
      <c r="C61" s="5" t="inlineStr">
        <is>
          <t>2 — Medium</t>
        </is>
      </c>
      <c r="D61" s="6" t="inlineStr"/>
    </row>
    <row r="62">
      <c r="A62" s="5" t="inlineStr">
        <is>
          <t>Liechtenstein</t>
        </is>
      </c>
      <c r="B62" s="26" t="n">
        <v>2</v>
      </c>
      <c r="C62" s="5" t="inlineStr">
        <is>
          <t>2 — Medium</t>
        </is>
      </c>
      <c r="D62" s="6" t="inlineStr">
        <is>
          <t>Secrecy jurisdiction — forced to 4 as an intermediary jurisdiction</t>
        </is>
      </c>
    </row>
    <row r="63">
      <c r="A63" s="5" t="inlineStr">
        <is>
          <t>Malaysia</t>
        </is>
      </c>
      <c r="B63" s="26" t="n">
        <v>2</v>
      </c>
      <c r="C63" s="5" t="inlineStr">
        <is>
          <t>2 — Medium</t>
        </is>
      </c>
      <c r="D63" s="6" t="inlineStr"/>
    </row>
    <row r="64">
      <c r="A64" s="5" t="inlineStr">
        <is>
          <t>Mauritius</t>
        </is>
      </c>
      <c r="B64" s="26" t="n">
        <v>2</v>
      </c>
      <c r="C64" s="5" t="inlineStr">
        <is>
          <t>2 — Medium</t>
        </is>
      </c>
      <c r="D64" s="6" t="inlineStr"/>
    </row>
    <row r="65">
      <c r="A65" s="5" t="inlineStr">
        <is>
          <t>Mexico</t>
        </is>
      </c>
      <c r="B65" s="26" t="n">
        <v>2</v>
      </c>
      <c r="C65" s="5" t="inlineStr">
        <is>
          <t>2 — Medium</t>
        </is>
      </c>
      <c r="D65" s="6" t="inlineStr"/>
    </row>
    <row r="66">
      <c r="A66" s="5" t="inlineStr">
        <is>
          <t>Morocco</t>
        </is>
      </c>
      <c r="B66" s="26" t="n">
        <v>2</v>
      </c>
      <c r="C66" s="5" t="inlineStr">
        <is>
          <t>2 — Medium</t>
        </is>
      </c>
      <c r="D66" s="6" t="inlineStr"/>
    </row>
    <row r="67">
      <c r="A67" s="5" t="inlineStr">
        <is>
          <t>Oman</t>
        </is>
      </c>
      <c r="B67" s="26" t="n">
        <v>2</v>
      </c>
      <c r="C67" s="5" t="inlineStr">
        <is>
          <t>2 — Medium</t>
        </is>
      </c>
      <c r="D67" s="6" t="inlineStr"/>
    </row>
    <row r="68">
      <c r="A68" s="5" t="inlineStr">
        <is>
          <t>Pakistan</t>
        </is>
      </c>
      <c r="B68" s="26" t="n">
        <v>2</v>
      </c>
      <c r="C68" s="5" t="inlineStr">
        <is>
          <t>2 — Medium</t>
        </is>
      </c>
      <c r="D68" s="6" t="inlineStr"/>
    </row>
    <row r="69">
      <c r="A69" s="5" t="inlineStr">
        <is>
          <t>Qatar</t>
        </is>
      </c>
      <c r="B69" s="26" t="n">
        <v>2</v>
      </c>
      <c r="C69" s="5" t="inlineStr">
        <is>
          <t>2 — Medium</t>
        </is>
      </c>
      <c r="D69" s="6" t="inlineStr"/>
    </row>
    <row r="70">
      <c r="A70" s="5" t="inlineStr">
        <is>
          <t>Rwanda</t>
        </is>
      </c>
      <c r="B70" s="26" t="n">
        <v>2</v>
      </c>
      <c r="C70" s="5" t="inlineStr">
        <is>
          <t>2 — Medium</t>
        </is>
      </c>
      <c r="D70" s="6" t="inlineStr"/>
    </row>
    <row r="71">
      <c r="A71" s="5" t="inlineStr">
        <is>
          <t>Saudi Arabia</t>
        </is>
      </c>
      <c r="B71" s="26" t="n">
        <v>2</v>
      </c>
      <c r="C71" s="5" t="inlineStr">
        <is>
          <t>2 — Medium</t>
        </is>
      </c>
      <c r="D71" s="6" t="inlineStr"/>
    </row>
    <row r="72">
      <c r="A72" s="5" t="inlineStr">
        <is>
          <t>Seychelles</t>
        </is>
      </c>
      <c r="B72" s="26" t="n">
        <v>2</v>
      </c>
      <c r="C72" s="5" t="inlineStr">
        <is>
          <t>2 — Medium</t>
        </is>
      </c>
      <c r="D72" s="6" t="inlineStr">
        <is>
          <t>Secrecy jurisdiction — forced to 4 as an intermediary jurisdiction</t>
        </is>
      </c>
    </row>
    <row r="73">
      <c r="A73" s="5" t="inlineStr">
        <is>
          <t>Sri Lanka</t>
        </is>
      </c>
      <c r="B73" s="26" t="n">
        <v>2</v>
      </c>
      <c r="C73" s="5" t="inlineStr">
        <is>
          <t>2 — Medium</t>
        </is>
      </c>
      <c r="D73" s="6" t="inlineStr"/>
    </row>
    <row r="74">
      <c r="A74" s="5" t="inlineStr">
        <is>
          <t>Tunisia</t>
        </is>
      </c>
      <c r="B74" s="26" t="n">
        <v>2</v>
      </c>
      <c r="C74" s="5" t="inlineStr">
        <is>
          <t>2 — Medium</t>
        </is>
      </c>
      <c r="D74" s="6" t="inlineStr"/>
    </row>
    <row r="75">
      <c r="A75" s="5" t="inlineStr">
        <is>
          <t>Turkey</t>
        </is>
      </c>
      <c r="B75" s="26" t="n">
        <v>2</v>
      </c>
      <c r="C75" s="5" t="inlineStr">
        <is>
          <t>2 — Medium</t>
        </is>
      </c>
      <c r="D75" s="6" t="inlineStr"/>
    </row>
    <row r="76">
      <c r="A76" s="5" t="inlineStr">
        <is>
          <t>Uae</t>
        </is>
      </c>
      <c r="B76" s="26" t="n">
        <v>2</v>
      </c>
      <c r="C76" s="5" t="inlineStr">
        <is>
          <t>2 — Medium</t>
        </is>
      </c>
      <c r="D76" s="6" t="inlineStr"/>
    </row>
    <row r="77">
      <c r="A77" s="5" t="inlineStr">
        <is>
          <t>Uganda</t>
        </is>
      </c>
      <c r="B77" s="26" t="n">
        <v>2</v>
      </c>
      <c r="C77" s="5" t="inlineStr">
        <is>
          <t>2 — Medium</t>
        </is>
      </c>
      <c r="D77" s="6" t="inlineStr"/>
    </row>
    <row r="78">
      <c r="A78" s="5" t="inlineStr">
        <is>
          <t>Australia</t>
        </is>
      </c>
      <c r="B78" s="26" t="n">
        <v>1</v>
      </c>
      <c r="C78" s="5" t="inlineStr">
        <is>
          <t>1 — Low</t>
        </is>
      </c>
      <c r="D78" s="6" t="inlineStr"/>
    </row>
    <row r="79">
      <c r="A79" s="5" t="inlineStr">
        <is>
          <t>Austria</t>
        </is>
      </c>
      <c r="B79" s="26" t="n">
        <v>1</v>
      </c>
      <c r="C79" s="5" t="inlineStr">
        <is>
          <t>1 — Low</t>
        </is>
      </c>
      <c r="D79" s="6" t="inlineStr"/>
    </row>
    <row r="80">
      <c r="A80" s="5" t="inlineStr">
        <is>
          <t>Belgium</t>
        </is>
      </c>
      <c r="B80" s="26" t="n">
        <v>1</v>
      </c>
      <c r="C80" s="5" t="inlineStr">
        <is>
          <t>1 — Low</t>
        </is>
      </c>
      <c r="D80" s="6" t="inlineStr"/>
    </row>
    <row r="81">
      <c r="A81" s="5" t="inlineStr">
        <is>
          <t>Canada</t>
        </is>
      </c>
      <c r="B81" s="26" t="n">
        <v>1</v>
      </c>
      <c r="C81" s="5" t="inlineStr">
        <is>
          <t>1 — Low</t>
        </is>
      </c>
      <c r="D81" s="6" t="inlineStr"/>
    </row>
    <row r="82">
      <c r="A82" s="5" t="inlineStr">
        <is>
          <t>Denmark</t>
        </is>
      </c>
      <c r="B82" s="26" t="n">
        <v>1</v>
      </c>
      <c r="C82" s="5" t="inlineStr">
        <is>
          <t>1 — Low</t>
        </is>
      </c>
      <c r="D82" s="6" t="inlineStr"/>
    </row>
    <row r="83">
      <c r="A83" s="5" t="inlineStr">
        <is>
          <t>Finland</t>
        </is>
      </c>
      <c r="B83" s="26" t="n">
        <v>1</v>
      </c>
      <c r="C83" s="5" t="inlineStr">
        <is>
          <t>1 — Low</t>
        </is>
      </c>
      <c r="D83" s="6" t="inlineStr"/>
    </row>
    <row r="84">
      <c r="A84" s="5" t="inlineStr">
        <is>
          <t>France</t>
        </is>
      </c>
      <c r="B84" s="26" t="n">
        <v>1</v>
      </c>
      <c r="C84" s="5" t="inlineStr">
        <is>
          <t>1 — Low</t>
        </is>
      </c>
      <c r="D84" s="6" t="inlineStr"/>
    </row>
    <row r="85">
      <c r="A85" s="5" t="inlineStr">
        <is>
          <t>Germany</t>
        </is>
      </c>
      <c r="B85" s="26" t="n">
        <v>1</v>
      </c>
      <c r="C85" s="5" t="inlineStr">
        <is>
          <t>1 — Low</t>
        </is>
      </c>
      <c r="D85" s="6" t="inlineStr"/>
    </row>
    <row r="86">
      <c r="A86" s="5" t="inlineStr">
        <is>
          <t>Hong Kong</t>
        </is>
      </c>
      <c r="B86" s="26" t="n">
        <v>1</v>
      </c>
      <c r="C86" s="5" t="inlineStr">
        <is>
          <t>1 — Low</t>
        </is>
      </c>
      <c r="D86" s="6" t="inlineStr"/>
    </row>
    <row r="87">
      <c r="A87" s="5" t="inlineStr">
        <is>
          <t>Iceland</t>
        </is>
      </c>
      <c r="B87" s="26" t="n">
        <v>1</v>
      </c>
      <c r="C87" s="5" t="inlineStr">
        <is>
          <t>1 — Low</t>
        </is>
      </c>
      <c r="D87" s="6" t="inlineStr"/>
    </row>
    <row r="88">
      <c r="A88" s="5" t="inlineStr">
        <is>
          <t>Ireland</t>
        </is>
      </c>
      <c r="B88" s="26" t="n">
        <v>1</v>
      </c>
      <c r="C88" s="5" t="inlineStr">
        <is>
          <t>1 — Low</t>
        </is>
      </c>
      <c r="D88" s="6" t="inlineStr"/>
    </row>
    <row r="89">
      <c r="A89" s="5" t="inlineStr">
        <is>
          <t>Israel</t>
        </is>
      </c>
      <c r="B89" s="26" t="n">
        <v>1</v>
      </c>
      <c r="C89" s="5" t="inlineStr">
        <is>
          <t>1 — Low</t>
        </is>
      </c>
      <c r="D89" s="6" t="inlineStr"/>
    </row>
    <row r="90">
      <c r="A90" s="5" t="inlineStr">
        <is>
          <t>Italy</t>
        </is>
      </c>
      <c r="B90" s="26" t="n">
        <v>1</v>
      </c>
      <c r="C90" s="5" t="inlineStr">
        <is>
          <t>1 — Low</t>
        </is>
      </c>
      <c r="D90" s="6" t="inlineStr"/>
    </row>
    <row r="91">
      <c r="A91" s="5" t="inlineStr">
        <is>
          <t>Japan</t>
        </is>
      </c>
      <c r="B91" s="26" t="n">
        <v>1</v>
      </c>
      <c r="C91" s="5" t="inlineStr">
        <is>
          <t>1 — Low</t>
        </is>
      </c>
      <c r="D91" s="6" t="inlineStr"/>
    </row>
    <row r="92">
      <c r="A92" s="5" t="inlineStr">
        <is>
          <t>Luxembourg</t>
        </is>
      </c>
      <c r="B92" s="26" t="n">
        <v>1</v>
      </c>
      <c r="C92" s="5" t="inlineStr">
        <is>
          <t>1 — Low</t>
        </is>
      </c>
      <c r="D92" s="6" t="inlineStr"/>
    </row>
    <row r="93">
      <c r="A93" s="5" t="inlineStr">
        <is>
          <t>Netherlands</t>
        </is>
      </c>
      <c r="B93" s="26" t="n">
        <v>1</v>
      </c>
      <c r="C93" s="5" t="inlineStr">
        <is>
          <t>1 — Low</t>
        </is>
      </c>
      <c r="D93" s="6" t="inlineStr"/>
    </row>
    <row r="94">
      <c r="A94" s="5" t="inlineStr">
        <is>
          <t>New Zealand</t>
        </is>
      </c>
      <c r="B94" s="26" t="n">
        <v>1</v>
      </c>
      <c r="C94" s="5" t="inlineStr">
        <is>
          <t>1 — Low</t>
        </is>
      </c>
      <c r="D94" s="6" t="inlineStr"/>
    </row>
    <row r="95">
      <c r="A95" s="5" t="inlineStr">
        <is>
          <t>Norway</t>
        </is>
      </c>
      <c r="B95" s="26" t="n">
        <v>1</v>
      </c>
      <c r="C95" s="5" t="inlineStr">
        <is>
          <t>1 — Low</t>
        </is>
      </c>
      <c r="D95" s="6" t="inlineStr"/>
    </row>
    <row r="96">
      <c r="A96" s="5" t="inlineStr">
        <is>
          <t>Portugal</t>
        </is>
      </c>
      <c r="B96" s="26" t="n">
        <v>1</v>
      </c>
      <c r="C96" s="5" t="inlineStr">
        <is>
          <t>1 — Low</t>
        </is>
      </c>
      <c r="D96" s="6" t="inlineStr"/>
    </row>
    <row r="97">
      <c r="A97" s="5" t="inlineStr">
        <is>
          <t>Singapore</t>
        </is>
      </c>
      <c r="B97" s="26" t="n">
        <v>1</v>
      </c>
      <c r="C97" s="5" t="inlineStr">
        <is>
          <t>1 — Low</t>
        </is>
      </c>
      <c r="D97" s="6" t="inlineStr"/>
    </row>
    <row r="98">
      <c r="A98" s="5" t="inlineStr">
        <is>
          <t>South Korea</t>
        </is>
      </c>
      <c r="B98" s="26" t="n">
        <v>1</v>
      </c>
      <c r="C98" s="5" t="inlineStr">
        <is>
          <t>1 — Low</t>
        </is>
      </c>
      <c r="D98" s="6" t="inlineStr"/>
    </row>
    <row r="99">
      <c r="A99" s="5" t="inlineStr">
        <is>
          <t>Spain</t>
        </is>
      </c>
      <c r="B99" s="26" t="n">
        <v>1</v>
      </c>
      <c r="C99" s="5" t="inlineStr">
        <is>
          <t>1 — Low</t>
        </is>
      </c>
      <c r="D99" s="6" t="inlineStr"/>
    </row>
    <row r="100">
      <c r="A100" s="5" t="inlineStr">
        <is>
          <t>Sweden</t>
        </is>
      </c>
      <c r="B100" s="26" t="n">
        <v>1</v>
      </c>
      <c r="C100" s="5" t="inlineStr">
        <is>
          <t>1 — Low</t>
        </is>
      </c>
      <c r="D100" s="6" t="inlineStr"/>
    </row>
    <row r="101">
      <c r="A101" s="5" t="inlineStr">
        <is>
          <t>Switzerland</t>
        </is>
      </c>
      <c r="B101" s="26" t="n">
        <v>1</v>
      </c>
      <c r="C101" s="5" t="inlineStr">
        <is>
          <t>1 — Low</t>
        </is>
      </c>
      <c r="D101" s="6" t="inlineStr"/>
    </row>
    <row r="102">
      <c r="A102" s="5" t="inlineStr">
        <is>
          <t>Taiwan</t>
        </is>
      </c>
      <c r="B102" s="26" t="n">
        <v>1</v>
      </c>
      <c r="C102" s="5" t="inlineStr">
        <is>
          <t>1 — Low</t>
        </is>
      </c>
      <c r="D102" s="6" t="inlineStr"/>
    </row>
    <row r="103">
      <c r="A103" s="5" t="inlineStr">
        <is>
          <t>Uk</t>
        </is>
      </c>
      <c r="B103" s="26" t="n">
        <v>1</v>
      </c>
      <c r="C103" s="5" t="inlineStr">
        <is>
          <t>1 — Low</t>
        </is>
      </c>
      <c r="D103" s="6" t="inlineStr"/>
    </row>
    <row r="104">
      <c r="A104" s="5" t="inlineStr">
        <is>
          <t>United Kingdom</t>
        </is>
      </c>
      <c r="B104" s="26" t="n">
        <v>1</v>
      </c>
      <c r="C104" s="5" t="inlineStr">
        <is>
          <t>1 — Low</t>
        </is>
      </c>
      <c r="D104" s="6" t="inlineStr"/>
    </row>
    <row r="105">
      <c r="A105" s="5" t="inlineStr">
        <is>
          <t>United States</t>
        </is>
      </c>
      <c r="B105" s="26" t="n">
        <v>1</v>
      </c>
      <c r="C105" s="5" t="inlineStr">
        <is>
          <t>1 — Low</t>
        </is>
      </c>
      <c r="D105" s="6" t="inlineStr"/>
    </row>
    <row r="106">
      <c r="A106" s="5" t="inlineStr">
        <is>
          <t>Usa</t>
        </is>
      </c>
      <c r="B106" s="26" t="n">
        <v>1</v>
      </c>
      <c r="C106" s="5" t="inlineStr">
        <is>
          <t>1 — Low</t>
        </is>
      </c>
      <c r="D106" s="6" t="inlineStr"/>
    </row>
    <row r="108">
      <c r="A108" s="8" t="inlineStr">
        <is>
          <t>A country absent from this list scores 2 by default. Nationalities are mapped to countries first (e.g. Iranian to Iran) before lookup.</t>
        </is>
      </c>
    </row>
  </sheetData>
  <mergeCells count="1">
    <mergeCell ref="A108:D10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26" customWidth="1" min="1" max="1"/>
    <col width="44" customWidth="1" min="2" max="2"/>
    <col width="10" customWidth="1" min="3" max="3"/>
    <col width="20" customWidth="1" min="4" max="4"/>
  </cols>
  <sheetData>
    <row r="1">
      <c r="A1" s="1" t="inlineStr">
        <is>
          <t>Other controlled value scores</t>
        </is>
      </c>
    </row>
    <row r="3">
      <c r="A3" s="9" t="inlineStr">
        <is>
          <t>Family</t>
        </is>
      </c>
      <c r="B3" s="9" t="inlineStr">
        <is>
          <t>Value (canonical label)</t>
        </is>
      </c>
      <c r="C3" s="9" t="inlineStr">
        <is>
          <t>Score</t>
        </is>
      </c>
      <c r="D3" s="9" t="inlineStr">
        <is>
          <t>Risk band</t>
        </is>
      </c>
    </row>
    <row r="4">
      <c r="A4" s="5" t="inlineStr">
        <is>
          <t>Entity type (D1)</t>
        </is>
      </c>
      <c r="B4" s="5" t="inlineStr">
        <is>
          <t>Listed Company on Regulated Exchange</t>
        </is>
      </c>
      <c r="C4" s="26" t="n">
        <v>1</v>
      </c>
      <c r="D4" s="5" t="inlineStr">
        <is>
          <t>1 — Low</t>
        </is>
      </c>
    </row>
    <row r="5">
      <c r="A5" s="10" t="inlineStr">
        <is>
          <t>Entity type (D1)</t>
        </is>
      </c>
      <c r="B5" s="5" t="inlineStr">
        <is>
          <t>Regulated Financial Institution</t>
        </is>
      </c>
      <c r="C5" s="26" t="n">
        <v>1</v>
      </c>
      <c r="D5" s="5" t="inlineStr">
        <is>
          <t>1 — Low</t>
        </is>
      </c>
    </row>
    <row r="6">
      <c r="A6" s="5" t="inlineStr">
        <is>
          <t>Entity type (D1)</t>
        </is>
      </c>
      <c r="B6" s="5" t="inlineStr">
        <is>
          <t>Government / Public Sector Entity</t>
        </is>
      </c>
      <c r="C6" s="26" t="n">
        <v>1</v>
      </c>
      <c r="D6" s="5" t="inlineStr">
        <is>
          <t>1 — Low</t>
        </is>
      </c>
    </row>
    <row r="7">
      <c r="A7" s="10" t="inlineStr">
        <is>
          <t>Entity type (D1)</t>
        </is>
      </c>
      <c r="B7" s="5" t="inlineStr">
        <is>
          <t>Large Private Company (revenue &gt; USD 10m)</t>
        </is>
      </c>
      <c r="C7" s="26" t="n">
        <v>2</v>
      </c>
      <c r="D7" s="5" t="inlineStr">
        <is>
          <t>2 — Medium</t>
        </is>
      </c>
    </row>
    <row r="8">
      <c r="A8" s="5" t="inlineStr">
        <is>
          <t>Entity type (D1)</t>
        </is>
      </c>
      <c r="B8" s="5" t="inlineStr">
        <is>
          <t>SME / Private Company</t>
        </is>
      </c>
      <c r="C8" s="26" t="n">
        <v>2</v>
      </c>
      <c r="D8" s="5" t="inlineStr">
        <is>
          <t>2 — Medium</t>
        </is>
      </c>
    </row>
    <row r="9">
      <c r="A9" s="10" t="inlineStr">
        <is>
          <t>Entity type (D1)</t>
        </is>
      </c>
      <c r="B9" s="5" t="inlineStr">
        <is>
          <t>Regulated Fund (CIS / Licensed)</t>
        </is>
      </c>
      <c r="C9" s="26" t="n">
        <v>2</v>
      </c>
      <c r="D9" s="5" t="inlineStr">
        <is>
          <t>2 — Medium</t>
        </is>
      </c>
    </row>
    <row r="10">
      <c r="A10" s="5" t="inlineStr">
        <is>
          <t>Entity type (D1)</t>
        </is>
      </c>
      <c r="B10" s="5" t="inlineStr">
        <is>
          <t>Newly Incorporated Company (&lt; 1 year)</t>
        </is>
      </c>
      <c r="C10" s="26" t="n">
        <v>3</v>
      </c>
      <c r="D10" s="5" t="inlineStr">
        <is>
          <t>3 — High</t>
        </is>
      </c>
    </row>
    <row r="11">
      <c r="A11" s="10" t="inlineStr">
        <is>
          <t>Entity type (D1)</t>
        </is>
      </c>
      <c r="B11" s="5" t="inlineStr">
        <is>
          <t>Trust</t>
        </is>
      </c>
      <c r="C11" s="26" t="n">
        <v>3</v>
      </c>
      <c r="D11" s="5" t="inlineStr">
        <is>
          <t>3 — High</t>
        </is>
      </c>
    </row>
    <row r="12">
      <c r="A12" s="5" t="inlineStr">
        <is>
          <t>Entity type (D1)</t>
        </is>
      </c>
      <c r="B12" s="5" t="inlineStr">
        <is>
          <t>Foundation</t>
        </is>
      </c>
      <c r="C12" s="26" t="n">
        <v>3</v>
      </c>
      <c r="D12" s="5" t="inlineStr">
        <is>
          <t>3 — High</t>
        </is>
      </c>
    </row>
    <row r="13">
      <c r="A13" s="10" t="inlineStr">
        <is>
          <t>Entity type (D1)</t>
        </is>
      </c>
      <c r="B13" s="5" t="inlineStr">
        <is>
          <t>Unregulated Fund / SPV</t>
        </is>
      </c>
      <c r="C13" s="26" t="n">
        <v>3</v>
      </c>
      <c r="D13" s="5" t="inlineStr">
        <is>
          <t>3 — High</t>
        </is>
      </c>
    </row>
    <row r="14">
      <c r="A14" s="5" t="inlineStr">
        <is>
          <t>Entity type (D1)</t>
        </is>
      </c>
      <c r="B14" s="5" t="inlineStr">
        <is>
          <t>Non-Profit Organisation / NGO</t>
        </is>
      </c>
      <c r="C14" s="26" t="n">
        <v>3</v>
      </c>
      <c r="D14" s="5" t="inlineStr">
        <is>
          <t>3 — High</t>
        </is>
      </c>
    </row>
    <row r="15">
      <c r="A15" s="10" t="inlineStr">
        <is>
          <t>Entity type (D1)</t>
        </is>
      </c>
      <c r="B15" s="5" t="inlineStr">
        <is>
          <t>Shell Company / Special Purpose Vehicle</t>
        </is>
      </c>
      <c r="C15" s="26" t="n">
        <v>4</v>
      </c>
      <c r="D15" s="5" t="inlineStr">
        <is>
          <t>4 — Very high</t>
        </is>
      </c>
    </row>
    <row r="17">
      <c r="A17" s="10" t="inlineStr">
        <is>
          <t>Ownership structure (D1)</t>
        </is>
      </c>
      <c r="B17" s="5" t="inlineStr">
        <is>
          <t>Simple — direct identifiable UBOs</t>
        </is>
      </c>
      <c r="C17" s="26" t="n">
        <v>1</v>
      </c>
      <c r="D17" s="5" t="inlineStr">
        <is>
          <t>1 — Low</t>
        </is>
      </c>
    </row>
    <row r="18">
      <c r="A18" s="5" t="inlineStr">
        <is>
          <t>Ownership structure (D1)</t>
        </is>
      </c>
      <c r="B18" s="5" t="inlineStr">
        <is>
          <t>1–2 ownership layers</t>
        </is>
      </c>
      <c r="C18" s="26" t="n">
        <v>2</v>
      </c>
      <c r="D18" s="5" t="inlineStr">
        <is>
          <t>2 — Medium</t>
        </is>
      </c>
    </row>
    <row r="19">
      <c r="A19" s="10" t="inlineStr">
        <is>
          <t>Ownership structure (D1)</t>
        </is>
      </c>
      <c r="B19" s="5" t="inlineStr">
        <is>
          <t>3+ ownership layers / nominee shareholders</t>
        </is>
      </c>
      <c r="C19" s="26" t="n">
        <v>3</v>
      </c>
      <c r="D19" s="5" t="inlineStr">
        <is>
          <t>3 — High</t>
        </is>
      </c>
    </row>
    <row r="20">
      <c r="A20" s="5" t="inlineStr">
        <is>
          <t>Ownership structure (D1)</t>
        </is>
      </c>
      <c r="B20" s="5" t="inlineStr">
        <is>
          <t>Opaque — UBOs cannot be fully identified</t>
        </is>
      </c>
      <c r="C20" s="26" t="n">
        <v>4</v>
      </c>
      <c r="D20" s="5" t="inlineStr">
        <is>
          <t>4 — Very high</t>
        </is>
      </c>
    </row>
    <row r="22">
      <c r="A22" s="5" t="inlineStr">
        <is>
          <t>Transaction complexity (D3)</t>
        </is>
      </c>
      <c r="B22" s="5" t="inlineStr">
        <is>
          <t>Simple — single currency, domestic corridors</t>
        </is>
      </c>
      <c r="C22" s="26" t="n">
        <v>1</v>
      </c>
      <c r="D22" s="5" t="inlineStr">
        <is>
          <t>1 — Low</t>
        </is>
      </c>
    </row>
    <row r="23">
      <c r="A23" s="10" t="inlineStr">
        <is>
          <t>Transaction complexity (D3)</t>
        </is>
      </c>
      <c r="B23" s="5" t="inlineStr">
        <is>
          <t>Standard — multi-currency, established corridors</t>
        </is>
      </c>
      <c r="C23" s="26" t="n">
        <v>2</v>
      </c>
      <c r="D23" s="5" t="inlineStr">
        <is>
          <t>2 — Medium</t>
        </is>
      </c>
    </row>
    <row r="24">
      <c r="A24" s="5" t="inlineStr">
        <is>
          <t>Transaction complexity (D3)</t>
        </is>
      </c>
      <c r="B24" s="5" t="inlineStr">
        <is>
          <t>Complex — multiple international corridors</t>
        </is>
      </c>
      <c r="C24" s="26" t="n">
        <v>3</v>
      </c>
      <c r="D24" s="5" t="inlineStr">
        <is>
          <t>3 — High</t>
        </is>
      </c>
    </row>
    <row r="25">
      <c r="A25" s="10" t="inlineStr">
        <is>
          <t>Transaction complexity (D3)</t>
        </is>
      </c>
      <c r="B25" s="5" t="inlineStr">
        <is>
          <t>Very complex — includes monitored corridors</t>
        </is>
      </c>
      <c r="C25" s="26" t="n">
        <v>4</v>
      </c>
      <c r="D25" s="5" t="inlineStr">
        <is>
          <t>4 — Very high</t>
        </is>
      </c>
    </row>
    <row r="27">
      <c r="A27" s="10" t="inlineStr">
        <is>
          <t>Monthly volume (D3)</t>
        </is>
      </c>
      <c r="B27" s="5" t="inlineStr">
        <is>
          <t>Under USD 50,000 per month</t>
        </is>
      </c>
      <c r="C27" s="26" t="n">
        <v>1</v>
      </c>
      <c r="D27" s="5" t="inlineStr">
        <is>
          <t>1 — Low</t>
        </is>
      </c>
    </row>
    <row r="28">
      <c r="A28" s="5" t="inlineStr">
        <is>
          <t>Monthly volume (D3)</t>
        </is>
      </c>
      <c r="B28" s="5" t="inlineStr">
        <is>
          <t>USD 50,000 to USD 500,000 per month</t>
        </is>
      </c>
      <c r="C28" s="26" t="n">
        <v>2</v>
      </c>
      <c r="D28" s="5" t="inlineStr">
        <is>
          <t>2 — Medium</t>
        </is>
      </c>
    </row>
    <row r="29">
      <c r="A29" s="10" t="inlineStr">
        <is>
          <t>Monthly volume (D3)</t>
        </is>
      </c>
      <c r="B29" s="5" t="inlineStr">
        <is>
          <t>USD 500,000 to USD 5,000,000 per month</t>
        </is>
      </c>
      <c r="C29" s="26" t="n">
        <v>3</v>
      </c>
      <c r="D29" s="5" t="inlineStr">
        <is>
          <t>3 — High</t>
        </is>
      </c>
    </row>
    <row r="30">
      <c r="A30" s="5" t="inlineStr">
        <is>
          <t>Monthly volume (D3)</t>
        </is>
      </c>
      <c r="B30" s="5" t="inlineStr">
        <is>
          <t>Over USD 5,000,000 per month</t>
        </is>
      </c>
      <c r="C30" s="26" t="n">
        <v>4</v>
      </c>
      <c r="D30" s="5" t="inlineStr">
        <is>
          <t>4 — Very high</t>
        </is>
      </c>
    </row>
    <row r="32">
      <c r="A32" s="5" t="inlineStr">
        <is>
          <t>Introduction method (D5)</t>
        </is>
      </c>
      <c r="B32" s="5" t="inlineStr">
        <is>
          <t>Direct application — client initiated</t>
        </is>
      </c>
      <c r="C32" s="26" t="n">
        <v>1</v>
      </c>
      <c r="D32" s="5" t="inlineStr">
        <is>
          <t>1 — Low</t>
        </is>
      </c>
    </row>
    <row r="33">
      <c r="A33" s="10" t="inlineStr">
        <is>
          <t>Introduction method (D5)</t>
        </is>
      </c>
      <c r="B33" s="5" t="inlineStr">
        <is>
          <t>Introduced by regulated intermediary / agent</t>
        </is>
      </c>
      <c r="C33" s="26" t="n">
        <v>1</v>
      </c>
      <c r="D33" s="5" t="inlineStr">
        <is>
          <t>1 — Low</t>
        </is>
      </c>
    </row>
    <row r="34">
      <c r="A34" s="5" t="inlineStr">
        <is>
          <t>Introduction method (D5)</t>
        </is>
      </c>
      <c r="B34" s="5" t="inlineStr">
        <is>
          <t>Introduced by non-regulated intermediary</t>
        </is>
      </c>
      <c r="C34" s="26" t="n">
        <v>3</v>
      </c>
      <c r="D34" s="5" t="inlineStr">
        <is>
          <t>3 — High</t>
        </is>
      </c>
    </row>
    <row r="35">
      <c r="A35" s="10" t="inlineStr">
        <is>
          <t>Introduction method (D5)</t>
        </is>
      </c>
      <c r="B35" s="5" t="inlineStr">
        <is>
          <t>Unsolicited / unknown referral source</t>
        </is>
      </c>
      <c r="C35" s="26" t="n">
        <v>4</v>
      </c>
      <c r="D35" s="5" t="inlineStr">
        <is>
          <t>4 — Very 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42" customWidth="1" min="1" max="1"/>
    <col width="20" customWidth="1" min="2" max="2"/>
    <col width="18" customWidth="1" min="3" max="3"/>
    <col width="54" customWidth="1" min="4" max="4"/>
  </cols>
  <sheetData>
    <row r="1">
      <c r="A1" s="1" t="inlineStr">
        <is>
          <t>Floors and elevations — policy overrides</t>
        </is>
      </c>
    </row>
    <row r="2">
      <c r="A2" s="8" t="inlineStr">
        <is>
          <t>A floor raises the final risk level above the computed score. It can only raise, never lower.</t>
        </is>
      </c>
    </row>
    <row r="4">
      <c r="A4" s="9" t="inlineStr">
        <is>
          <t>Rule (system code)</t>
        </is>
      </c>
      <c r="B4" s="9" t="inlineStr">
        <is>
          <t>Raises level to</t>
        </is>
      </c>
      <c r="C4" s="9" t="inlineStr">
        <is>
          <t>Applied</t>
        </is>
      </c>
      <c r="D4" s="9" t="inlineStr">
        <is>
          <t>When it fires</t>
        </is>
      </c>
    </row>
    <row r="5">
      <c r="A5" s="10" t="inlineStr">
        <is>
          <t>floor_rule_declared_pep</t>
        </is>
      </c>
      <c r="B5" s="5" t="inlineStr">
        <is>
          <t>At least HIGH</t>
        </is>
      </c>
      <c r="C5" s="5" t="inlineStr">
        <is>
          <t>During scoring</t>
        </is>
      </c>
      <c r="D5" s="5" t="inlineStr">
        <is>
          <t>A declared PEP is present on any party</t>
        </is>
      </c>
    </row>
    <row r="6">
      <c r="A6" s="10" t="inlineStr">
        <is>
          <t>floor_rule_high_risk_sector</t>
        </is>
      </c>
      <c r="B6" s="5" t="inlineStr">
        <is>
          <t>At least HIGH</t>
        </is>
      </c>
      <c r="C6" s="5" t="inlineStr">
        <is>
          <t>During scoring</t>
        </is>
      </c>
      <c r="D6" s="5" t="inlineStr">
        <is>
          <t>Sector carries the highest risk band</t>
        </is>
      </c>
    </row>
    <row r="7">
      <c r="A7" s="10" t="inlineStr">
        <is>
          <t>floor_rule_elevated_jurisdiction</t>
        </is>
      </c>
      <c r="B7" s="5" t="inlineStr">
        <is>
          <t>At least HIGH</t>
        </is>
      </c>
      <c r="C7" s="5" t="inlineStr">
        <is>
          <t>During scoring</t>
        </is>
      </c>
      <c r="D7" s="5" t="inlineStr">
        <is>
          <t>Sanctioned or FATF-listed jurisdiction in the structure</t>
        </is>
      </c>
    </row>
    <row r="8">
      <c r="A8" s="10" t="inlineStr">
        <is>
          <t>floor_rule_opaque_ownership</t>
        </is>
      </c>
      <c r="B8" s="5" t="inlineStr">
        <is>
          <t>At least HIGH</t>
        </is>
      </c>
      <c r="C8" s="5" t="inlineStr">
        <is>
          <t>During scoring</t>
        </is>
      </c>
      <c r="D8" s="5" t="inlineStr">
        <is>
          <t>Ownership assessed as opaque</t>
        </is>
      </c>
    </row>
    <row r="9">
      <c r="A9" s="10" t="inlineStr">
        <is>
          <t>elevation_screening_concern</t>
        </is>
      </c>
      <c r="B9" s="5" t="inlineStr">
        <is>
          <t>Raises level</t>
        </is>
      </c>
      <c r="C9" s="5" t="inlineStr">
        <is>
          <t>During scoring</t>
        </is>
      </c>
      <c r="D9" s="5" t="inlineStr">
        <is>
          <t>Material screening concern present</t>
        </is>
      </c>
    </row>
    <row r="10">
      <c r="A10" s="10" t="inlineStr">
        <is>
          <t>elevation_severe_combination</t>
        </is>
      </c>
      <c r="B10" s="5" t="inlineStr">
        <is>
          <t>Raises level</t>
        </is>
      </c>
      <c r="C10" s="5" t="inlineStr">
        <is>
          <t>During scoring</t>
        </is>
      </c>
      <c r="D10" s="5" t="inlineStr">
        <is>
          <t>Several severe factors combine</t>
        </is>
      </c>
    </row>
    <row r="11">
      <c r="A11" s="10" t="inlineStr">
        <is>
          <t>elevation_grey_sector_opaque</t>
        </is>
      </c>
      <c r="B11" s="5" t="inlineStr">
        <is>
          <t>Raises level</t>
        </is>
      </c>
      <c r="C11" s="5" t="inlineStr">
        <is>
          <t>During scoring</t>
        </is>
      </c>
      <c r="D11" s="5" t="inlineStr">
        <is>
          <t>Grey-listed sector with opaque ownership</t>
        </is>
      </c>
    </row>
    <row r="12">
      <c r="A12" s="29" t="inlineStr">
        <is>
          <t>floor_rule_edd_routing</t>
        </is>
      </c>
      <c r="B12" s="30" t="inlineStr">
        <is>
          <t>At least the EDD minimum</t>
        </is>
      </c>
      <c r="C12" s="30" t="inlineStr">
        <is>
          <t>AFTER scoring</t>
        </is>
      </c>
      <c r="D12" s="30" t="inlineStr">
        <is>
          <t>Deterministic routing sends the case to EDD</t>
        </is>
      </c>
    </row>
    <row r="13">
      <c r="A13" s="29" t="inlineStr">
        <is>
          <t>material_screening_disposition_floor</t>
        </is>
      </c>
      <c r="B13" s="30" t="inlineStr">
        <is>
          <t>At least HIGH</t>
        </is>
      </c>
      <c r="C13" s="30" t="inlineStr">
        <is>
          <t>AFTER scoring</t>
        </is>
      </c>
      <c r="D13" s="30" t="inlineStr">
        <is>
          <t>An unresolved material screening match remains</t>
        </is>
      </c>
    </row>
    <row r="14">
      <c r="A14" s="29" t="inlineStr">
        <is>
          <t>screening_needs_more_information_floor</t>
        </is>
      </c>
      <c r="B14" s="30" t="inlineStr">
        <is>
          <t>At least HIGH</t>
        </is>
      </c>
      <c r="C14" s="30" t="inlineStr">
        <is>
          <t>AFTER scoring</t>
        </is>
      </c>
      <c r="D14" s="30" t="inlineStr">
        <is>
          <t>Screening needs more information before it can be cleared</t>
        </is>
      </c>
    </row>
    <row r="16">
      <c r="A16" s="3" t="inlineStr">
        <is>
          <t>Score after a floor</t>
        </is>
      </c>
      <c r="B16" s="3" t="inlineStr"/>
      <c r="C16" s="3" t="inlineStr"/>
      <c r="D16" s="3" t="inlineStr"/>
    </row>
    <row r="17">
      <c r="A17" s="10" t="inlineStr">
        <is>
          <t>Floor to MEDIUM</t>
        </is>
      </c>
      <c r="B17" s="17" t="inlineStr">
        <is>
          <t>raw score kept</t>
        </is>
      </c>
      <c r="C17" s="5" t="inlineStr"/>
      <c r="D17" s="6" t="inlineStr">
        <is>
          <t>A MEDIUM floor changes the level only; the score does not move</t>
        </is>
      </c>
    </row>
    <row r="18">
      <c r="A18" s="10" t="inlineStr">
        <is>
          <t>Floor to HIGH</t>
        </is>
      </c>
      <c r="B18" s="17" t="inlineStr">
        <is>
          <t>55.0</t>
        </is>
      </c>
      <c r="C18" s="5" t="inlineStr"/>
      <c r="D18" s="6" t="inlineStr">
        <is>
          <t>Score lifted to the band minimum</t>
        </is>
      </c>
    </row>
    <row r="19">
      <c r="A19" s="10" t="inlineStr">
        <is>
          <t>Floor to VERY_HIGH</t>
        </is>
      </c>
      <c r="B19" s="17" t="inlineStr">
        <is>
          <t>70.0</t>
        </is>
      </c>
      <c r="C19" s="5" t="inlineStr"/>
      <c r="D19" s="6" t="inlineStr">
        <is>
          <t>Score lifted to the band minimum</t>
        </is>
      </c>
    </row>
    <row r="21" ht="28" customHeight="1">
      <c r="A21" s="8" t="inlineStr">
        <is>
          <t>Shaded rows are applied AFTER the initial scoring, so the stored score can exceed the sum of the dimension contributions. The difference is recorded as the policy adjustment, which is what makes the breakdown reconcile.</t>
        </is>
      </c>
    </row>
  </sheetData>
  <mergeCells count="1">
    <mergeCell ref="A21:D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 width="34" customWidth="1" min="3" max="3"/>
    <col width="44" customWidth="1" min="4" max="4"/>
  </cols>
  <sheetData>
    <row r="1">
      <c r="A1" s="1" t="inlineStr">
        <is>
          <t>Approval routes</t>
        </is>
      </c>
    </row>
    <row r="2">
      <c r="A2" s="8" t="inlineStr">
        <is>
          <t>Founder-ratified 2026-07-21.</t>
        </is>
      </c>
    </row>
    <row r="4">
      <c r="A4" s="9" t="inlineStr">
        <is>
          <t>Risk / condition</t>
        </is>
      </c>
      <c r="B4" s="9" t="inlineStr">
        <is>
          <t>Approval route</t>
        </is>
      </c>
      <c r="C4" s="9" t="inlineStr">
        <is>
          <t>Required approver(s)</t>
        </is>
      </c>
      <c r="D4" s="9" t="inlineStr">
        <is>
          <t>Note</t>
        </is>
      </c>
    </row>
    <row r="5">
      <c r="A5" s="10" t="inlineStr">
        <is>
          <t>Low</t>
        </is>
      </c>
      <c r="B5" s="5" t="inlineStr">
        <is>
          <t>direct_low_medium</t>
        </is>
      </c>
      <c r="C5" s="5" t="inlineStr">
        <is>
          <t>Onboarding Officer</t>
        </is>
      </c>
      <c r="D5" s="6" t="inlineStr">
        <is>
          <t>Single officer; 'for now' per the ratified table</t>
        </is>
      </c>
    </row>
    <row r="6">
      <c r="A6" s="10" t="inlineStr">
        <is>
          <t>Medium</t>
        </is>
      </c>
      <c r="B6" s="5" t="inlineStr">
        <is>
          <t>compliance_required</t>
        </is>
      </c>
      <c r="C6" s="5" t="inlineStr">
        <is>
          <t>Compliance / SCO</t>
        </is>
      </c>
      <c r="D6" s="6" t="inlineStr"/>
    </row>
    <row r="7">
      <c r="A7" s="10" t="inlineStr">
        <is>
          <t>High</t>
        </is>
      </c>
      <c r="B7" s="5" t="inlineStr">
        <is>
          <t>dual_control_required</t>
        </is>
      </c>
      <c r="C7" s="5" t="inlineStr">
        <is>
          <t>SCO + Admin</t>
        </is>
      </c>
      <c r="D7" s="6" t="inlineStr">
        <is>
          <t>Two named roles, not any two officers</t>
        </is>
      </c>
    </row>
    <row r="8">
      <c r="A8" s="10" t="inlineStr">
        <is>
          <t>Very High</t>
        </is>
      </c>
      <c r="B8" s="5" t="inlineStr">
        <is>
          <t>dual_control_required</t>
        </is>
      </c>
      <c r="C8" s="5" t="inlineStr">
        <is>
          <t>SCO + Admin</t>
        </is>
      </c>
      <c r="D8" s="6" t="inlineStr"/>
    </row>
    <row r="9">
      <c r="A9" s="10" t="inlineStr">
        <is>
          <t>Rejected</t>
        </is>
      </c>
      <c r="B9" s="5" t="inlineStr">
        <is>
          <t>rejected</t>
        </is>
      </c>
      <c r="C9" s="5" t="inlineStr">
        <is>
          <t>No approval</t>
        </is>
      </c>
      <c r="D9" s="6" t="inlineStr"/>
    </row>
    <row r="10">
      <c r="A10" s="10" t="inlineStr">
        <is>
          <t>Pending / unresolved screening</t>
        </is>
      </c>
      <c r="B10" s="5" t="inlineStr">
        <is>
          <t>Underlying route retained</t>
        </is>
      </c>
      <c r="C10" s="5" t="inlineStr">
        <is>
          <t>Cannot proceed</t>
        </is>
      </c>
      <c r="D10" s="6" t="inlineStr">
        <is>
          <t>decision_eligibility = blocked until resolved</t>
        </is>
      </c>
    </row>
    <row r="12" ht="26" customHeight="1">
      <c r="A12" s="8" t="inlineStr">
        <is>
          <t>The route reflects risk policy; decision eligibility is separate. A case can carry compliance_required as its route while being blocked from any decision because screening is unresolved.</t>
        </is>
      </c>
    </row>
  </sheetData>
  <mergeCells count="1">
    <mergeCell ref="A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2026-08-06T12:59:13Z</dcterms:created>
  <dcterms:modified xsi:type="dcterms:W3CDTF">2026-08-06T13:01:38Z</dcterms:modified>
</cp:coreProperties>
</file>