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2"/>
  <workbookPr/>
  <mc:AlternateContent xmlns:mc="http://schemas.openxmlformats.org/markup-compatibility/2006">
    <mc:Choice Requires="x15">
      <x15ac:absPath xmlns:x15ac="http://schemas.microsoft.com/office/spreadsheetml/2010/11/ac" url="/Users/Aisha/Desktop/Onboarda/"/>
    </mc:Choice>
  </mc:AlternateContent>
  <xr:revisionPtr revIDLastSave="0" documentId="13_ncr:1_{6DCEBCD4-02EF-5847-A02B-B285FBB09E0A}" xr6:coauthVersionLast="47" xr6:coauthVersionMax="47" xr10:uidLastSave="{00000000-0000-0000-0000-000000000000}"/>
  <bookViews>
    <workbookView xWindow="0" yWindow="600" windowWidth="27040" windowHeight="15380" tabRatio="500" activeTab="1" xr2:uid="{00000000-000D-0000-FFFF-FFFF00000000}"/>
  </bookViews>
  <sheets>
    <sheet name="Risk Scoring Calculator" sheetId="1" r:id="rId1"/>
    <sheet name="Score Reference" sheetId="2" r:id="rId2"/>
    <sheet name="Country Risk Reference" sheetId="3" r:id="rId3"/>
    <sheet name="Methodology" sheetId="4"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C37" i="1" l="1"/>
  <c r="E37" i="1" s="1"/>
  <c r="C36" i="1"/>
  <c r="E38" i="1" s="1"/>
  <c r="C32" i="1"/>
  <c r="E33" i="1" s="1"/>
  <c r="C28" i="1"/>
  <c r="E28" i="1" s="1"/>
  <c r="C27" i="1"/>
  <c r="E27" i="1" s="1"/>
  <c r="C26" i="1"/>
  <c r="E26" i="1" s="1"/>
  <c r="C22" i="1"/>
  <c r="E22" i="1" s="1"/>
  <c r="C21" i="1"/>
  <c r="E21" i="1" s="1"/>
  <c r="C20" i="1"/>
  <c r="C16" i="1"/>
  <c r="E16" i="1" s="1"/>
  <c r="C15" i="1"/>
  <c r="E15" i="1" s="1"/>
  <c r="C14" i="1"/>
  <c r="E14" i="1" s="1"/>
  <c r="C13" i="1"/>
  <c r="E13" i="1" s="1"/>
  <c r="C12" i="1"/>
  <c r="E12" i="1" s="1"/>
  <c r="C11" i="1"/>
  <c r="E11" i="1" s="1"/>
  <c r="E23" i="1" l="1"/>
  <c r="E17" i="1"/>
  <c r="E20" i="1"/>
  <c r="E36" i="1"/>
  <c r="E29" i="1"/>
  <c r="E32" i="1"/>
  <c r="E47" i="1" l="1"/>
  <c r="B50" i="1" l="1"/>
  <c r="B49" i="1"/>
  <c r="E48" i="1"/>
</calcChain>
</file>

<file path=xl/sharedStrings.xml><?xml version="1.0" encoding="utf-8"?>
<sst xmlns="http://schemas.openxmlformats.org/spreadsheetml/2006/main" count="782" uniqueCount="350">
  <si>
    <t>ARIE FINANCE LTD  —  CLIENT RISK SCORING MODEL</t>
  </si>
  <si>
    <t>AML / CFT Risk Assessment Framework  |  Based on FATF Risk-Based Approach (Banking Sector)</t>
  </si>
  <si>
    <t>Client / Entity Name:</t>
  </si>
  <si>
    <t>Application Reference:</t>
  </si>
  <si>
    <t>Assessment Date:</t>
  </si>
  <si>
    <t>12 March 2026</t>
  </si>
  <si>
    <t>Assessed By:</t>
  </si>
  <si>
    <t>RISK FACTOR</t>
  </si>
  <si>
    <t>SELECTION</t>
  </si>
  <si>
    <t>SCORE (1–4)</t>
  </si>
  <si>
    <t>SUB-FACTOR WEIGHT</t>
  </si>
  <si>
    <t>WEIGHTED SCORE</t>
  </si>
  <si>
    <t xml:space="preserve">  DIMENSION 1: CUSTOMER / ENTITY RISK    |    Dimension Weight: 30%</t>
  </si>
  <si>
    <t>1.1   Entity Type</t>
  </si>
  <si>
    <t>1.2   Ownership Structure</t>
  </si>
  <si>
    <t>1.3   PEP Status</t>
  </si>
  <si>
    <t>1.4   Adverse Media / Negative News</t>
  </si>
  <si>
    <t>1.5   Source of Wealth</t>
  </si>
  <si>
    <t>1.6   Initial Source of Funds</t>
  </si>
  <si>
    <t xml:space="preserve">  DIMENSION 1 SCORE</t>
  </si>
  <si>
    <t>Dimension Score (1–4)</t>
  </si>
  <si>
    <t xml:space="preserve">  DIMENSION 2: GEOGRAPHIC RISK    |    Dimension Weight: 25%</t>
  </si>
  <si>
    <t>2.1   Country of Incorporation</t>
  </si>
  <si>
    <t>2.2   Countries of Operation</t>
  </si>
  <si>
    <t>2.3   Target Markets / Payment Corridors</t>
  </si>
  <si>
    <t xml:space="preserve">  DIMENSION 2 SCORE</t>
  </si>
  <si>
    <t xml:space="preserve">  DIMENSION 3: PRODUCT / SERVICE RISK    |    Dimension Weight: 20%</t>
  </si>
  <si>
    <t>3.1   Primary Service Required</t>
  </si>
  <si>
    <t>3.2   Expected Monthly Transaction Volume</t>
  </si>
  <si>
    <t>3.3   Transaction Complexity &amp; Corridors</t>
  </si>
  <si>
    <t xml:space="preserve">  DIMENSION 3 SCORE</t>
  </si>
  <si>
    <t xml:space="preserve">  DIMENSION 4: INDUSTRY / SECTOR RISK    |    Dimension Weight: 15%</t>
  </si>
  <si>
    <t>4.1   Business Sector / Industry</t>
  </si>
  <si>
    <t xml:space="preserve">  DIMENSION 4 SCORE</t>
  </si>
  <si>
    <t xml:space="preserve">  DIMENSION 5: DELIVERY CHANNEL RISK    |    Dimension Weight: 10%</t>
  </si>
  <si>
    <t>5.1   Introduction / Referral Method</t>
  </si>
  <si>
    <t>5.2   Customer Interaction Type</t>
  </si>
  <si>
    <t xml:space="preserve">  DIMENSION 5 SCORE</t>
  </si>
  <si>
    <t xml:space="preserve">  OVERALL RISK ASSESSMENT</t>
  </si>
  <si>
    <t xml:space="preserve">  WEIGHTED COMPOSITE SCORE</t>
  </si>
  <si>
    <t>Normalised score out of 100</t>
  </si>
  <si>
    <t xml:space="preserve">  RISK RATING</t>
  </si>
  <si>
    <t>Low (0–39)  |  Medium (40–69)  |  High (70–100)</t>
  </si>
  <si>
    <t xml:space="preserve">  DUE DILIGENCE REQUIREMENT</t>
  </si>
  <si>
    <t xml:space="preserve">  COMPLIANCE APPROVAL FLAG</t>
  </si>
  <si>
    <t>Source: ARIE Finance Ltd — AML/CFT Risk Scoring Model v1.2  |  FATF Risk-Based Approach (Banking Sector) Guidance  |  Last Updated: March 2026</t>
  </si>
  <si>
    <t>ARIE FINANCE LTD — SCORE REFERENCE DATA</t>
  </si>
  <si>
    <t>1.1  Entity Type</t>
  </si>
  <si>
    <t>Listed Company on Regulated Exchange</t>
  </si>
  <si>
    <t>Low Risk</t>
  </si>
  <si>
    <t>Regulated Financial Institution</t>
  </si>
  <si>
    <t>Government / Public Sector Entity</t>
  </si>
  <si>
    <t>Large Private Company (revenue &gt; USD 10m)</t>
  </si>
  <si>
    <t>Medium Risk</t>
  </si>
  <si>
    <t>SME / Private Company</t>
  </si>
  <si>
    <t>Newly Incorporated Company (&lt; 1 year)</t>
  </si>
  <si>
    <t>High Risk</t>
  </si>
  <si>
    <t>Trust / Foundation / Fund Structure</t>
  </si>
  <si>
    <t>Non-Profit Organisation / NGO</t>
  </si>
  <si>
    <t>Shell Company / Special Purpose Vehicle</t>
  </si>
  <si>
    <t>Very High Risk</t>
  </si>
  <si>
    <t>1.2  Ownership Structure</t>
  </si>
  <si>
    <t>Simple — direct identifiable UBOs</t>
  </si>
  <si>
    <t>1–2 ownership layers</t>
  </si>
  <si>
    <t>3+ ownership layers / nominee shareholders</t>
  </si>
  <si>
    <t>Complex multi-jurisdiction / opaque structure</t>
  </si>
  <si>
    <t>1.3  PEP Status</t>
  </si>
  <si>
    <t>No PEP connection</t>
  </si>
  <si>
    <t>Close associate or family member of PEP</t>
  </si>
  <si>
    <t>Domestic Politically Exposed Person (PEP)</t>
  </si>
  <si>
    <t>Foreign / International PEP</t>
  </si>
  <si>
    <t>1.4  Adverse Media / Negative News</t>
  </si>
  <si>
    <t>No adverse media identified</t>
  </si>
  <si>
    <t>Minor or unsubstantiated reports</t>
  </si>
  <si>
    <t>Confirmed adverse media / regulatory action</t>
  </si>
  <si>
    <t>2.1  Country of Incorporation</t>
  </si>
  <si>
    <t>FATF member — low risk jurisdiction</t>
  </si>
  <si>
    <t>FATF member — standard / emerging jurisdiction</t>
  </si>
  <si>
    <t>FATF Grey List country</t>
  </si>
  <si>
    <t>FATF Black List / sanctioned country</t>
  </si>
  <si>
    <t>2.2  Countries of Operation</t>
  </si>
  <si>
    <t>All low-risk jurisdictions</t>
  </si>
  <si>
    <t>Predominantly low-risk with some medium-risk jurisdictions</t>
  </si>
  <si>
    <t>Includes high-risk jurisdictions</t>
  </si>
  <si>
    <t>Predominantly high-risk or sanctioned jurisdictions</t>
  </si>
  <si>
    <t>2.3  Target Markets / Payment Corridors</t>
  </si>
  <si>
    <t>Developed markets only</t>
  </si>
  <si>
    <t>Mix of developed and emerging markets</t>
  </si>
  <si>
    <t>Predominantly emerging / frontier markets</t>
  </si>
  <si>
    <t>Includes sanctioned or very high-risk markets</t>
  </si>
  <si>
    <t>3.1  Primary Service Required</t>
  </si>
  <si>
    <t>Domestic payments only (single currency)</t>
  </si>
  <si>
    <t>Multi-currency corporate accounts</t>
  </si>
  <si>
    <t>Cross-border international transfers</t>
  </si>
  <si>
    <t>Virtual asset / crypto-related services</t>
  </si>
  <si>
    <t>3.2  Expected Monthly Transaction Volume</t>
  </si>
  <si>
    <t>Under USD 50,000 per month</t>
  </si>
  <si>
    <t>USD 50,000 to USD 500,000 per month</t>
  </si>
  <si>
    <t>USD 500,000 to USD 5,000,000 per month</t>
  </si>
  <si>
    <t>Over USD 5,000,000 per month</t>
  </si>
  <si>
    <t>3.3  Transaction Complexity &amp; Corridors</t>
  </si>
  <si>
    <t>Simple — single currency, domestic corridors</t>
  </si>
  <si>
    <t>Standard — multi-currency, low-risk corridors</t>
  </si>
  <si>
    <t>Complex — multiple international corridors</t>
  </si>
  <si>
    <t>Very complex — includes high-risk corridors</t>
  </si>
  <si>
    <t>4.1  Business Sector / Industry</t>
  </si>
  <si>
    <t>Regulated Financial Institution / Bank</t>
  </si>
  <si>
    <t>Government / Public Sector</t>
  </si>
  <si>
    <t>Listed Company — Main Board</t>
  </si>
  <si>
    <t>Healthcare / Pharmaceuticals</t>
  </si>
  <si>
    <t>Technology / Software / SaaS</t>
  </si>
  <si>
    <t>Manufacturing / Industrial</t>
  </si>
  <si>
    <t>Retail / E-commerce</t>
  </si>
  <si>
    <t>Hospitality / Tourism / Travel</t>
  </si>
  <si>
    <t>Logistics / Supply Chain / Shipping</t>
  </si>
  <si>
    <t>Education / Training</t>
  </si>
  <si>
    <t>Media / Entertainment / Publishing</t>
  </si>
  <si>
    <t>Import / Export / International Trade</t>
  </si>
  <si>
    <t>Real Estate / Property</t>
  </si>
  <si>
    <t>Legal / Accounting / Advisory Services</t>
  </si>
  <si>
    <t>Money Service Business (MSB) / Remittance</t>
  </si>
  <si>
    <t>Forex / CFD / Derivatives Broker</t>
  </si>
  <si>
    <t>Private Banking / Wealth Management</t>
  </si>
  <si>
    <t>Precious Metals / Stones / Jewellery</t>
  </si>
  <si>
    <t>Non-Profit Organisation / NGO / Charity</t>
  </si>
  <si>
    <t>Oil &amp; Gas / Mining / Extractives</t>
  </si>
  <si>
    <t>Construction / Infrastructure</t>
  </si>
  <si>
    <t>Cryptocurrency / Virtual Asset Services</t>
  </si>
  <si>
    <t>Gambling / Gaming / Betting</t>
  </si>
  <si>
    <t>Arms / Defence / Military Equipment</t>
  </si>
  <si>
    <t>Adult Entertainment</t>
  </si>
  <si>
    <t>Shell Company / Nominee Services</t>
  </si>
  <si>
    <t>5.1  Introduction / Referral Method</t>
  </si>
  <si>
    <t>Direct application — client initiated</t>
  </si>
  <si>
    <t>Introduced by regulated intermediary / agent</t>
  </si>
  <si>
    <t>Introduced by non-regulated intermediary</t>
  </si>
  <si>
    <t>Unsolicited / unknown referral source</t>
  </si>
  <si>
    <t>5.2  Customer Interaction Type</t>
  </si>
  <si>
    <t>In-person face-to-face meeting conducted</t>
  </si>
  <si>
    <t>Video KYC / video call conducted</t>
  </si>
  <si>
    <t>Non-face-to-face — low-risk jurisdiction</t>
  </si>
  <si>
    <t>Non-face-to-face — high-risk jurisdiction</t>
  </si>
  <si>
    <t>6.1  Source of Wealth</t>
  </si>
  <si>
    <t>Business revenue / trading profits</t>
  </si>
  <si>
    <t>Investment returns / dividends</t>
  </si>
  <si>
    <t>Sale of assets / property</t>
  </si>
  <si>
    <t>Venture capital / investor funding</t>
  </si>
  <si>
    <t>Government funding / grants</t>
  </si>
  <si>
    <t>Inheritance / family wealth</t>
  </si>
  <si>
    <t>Loan / credit facility proceeds</t>
  </si>
  <si>
    <t>Other</t>
  </si>
  <si>
    <t>6.2  Initial Source of Funds</t>
  </si>
  <si>
    <t>Transfer from company bank account</t>
  </si>
  <si>
    <t>Parent company / group entity transfer</t>
  </si>
  <si>
    <t>Client payments / receivables</t>
  </si>
  <si>
    <t>Revenue from business operations</t>
  </si>
  <si>
    <t>Shareholder / director capital injection</t>
  </si>
  <si>
    <t>Investment round / fundraise proceeds</t>
  </si>
  <si>
    <t>Loan / credit facility drawdown</t>
  </si>
  <si>
    <t>ARIE FINANCE LTD — COUNTRY RISK REFERENCE TABLE</t>
  </si>
  <si>
    <t>COUNTRY</t>
  </si>
  <si>
    <t>REGION</t>
  </si>
  <si>
    <t>FATF MEMBER</t>
  </si>
  <si>
    <t>FATF STATUS</t>
  </si>
  <si>
    <t>RISK SCORE</t>
  </si>
  <si>
    <t>RISK CATEGORY</t>
  </si>
  <si>
    <t>NOTES</t>
  </si>
  <si>
    <t>Australia</t>
  </si>
  <si>
    <t>Asia-Pacific</t>
  </si>
  <si>
    <t>Yes</t>
  </si>
  <si>
    <t>Clear</t>
  </si>
  <si>
    <t>FATF member; strong AML framework</t>
  </si>
  <si>
    <t>Canada</t>
  </si>
  <si>
    <t>Americas</t>
  </si>
  <si>
    <t>France</t>
  </si>
  <si>
    <t>Europe</t>
  </si>
  <si>
    <t>FATF founding member</t>
  </si>
  <si>
    <t>Germany</t>
  </si>
  <si>
    <t>Hong Kong SAR</t>
  </si>
  <si>
    <t>Strong regulatory framework</t>
  </si>
  <si>
    <t>Ireland</t>
  </si>
  <si>
    <t>EU member; robust AML laws</t>
  </si>
  <si>
    <t>Japan</t>
  </si>
  <si>
    <t>FATF member; strong controls</t>
  </si>
  <si>
    <t>Luxembourg</t>
  </si>
  <si>
    <t>EU financial centre</t>
  </si>
  <si>
    <t>Netherlands</t>
  </si>
  <si>
    <t>New Zealand</t>
  </si>
  <si>
    <t>Strong AML/CFT framework</t>
  </si>
  <si>
    <t>Singapore</t>
  </si>
  <si>
    <t>MAS-regulated; highly compliant</t>
  </si>
  <si>
    <t>Switzerland</t>
  </si>
  <si>
    <t>Strong FINMA-regulated framework</t>
  </si>
  <si>
    <t>United Kingdom</t>
  </si>
  <si>
    <t>FCA regulated; FATF member</t>
  </si>
  <si>
    <t>United States</t>
  </si>
  <si>
    <t>FATF founding member; FinCEN oversight</t>
  </si>
  <si>
    <t>Austria</t>
  </si>
  <si>
    <t>EU member; strong AML</t>
  </si>
  <si>
    <t>Belgium</t>
  </si>
  <si>
    <t>EU member</t>
  </si>
  <si>
    <t>Denmark</t>
  </si>
  <si>
    <t>Strong compliance culture</t>
  </si>
  <si>
    <t>Finland</t>
  </si>
  <si>
    <t>Norway</t>
  </si>
  <si>
    <t>Sweden</t>
  </si>
  <si>
    <t>South Korea</t>
  </si>
  <si>
    <t>FATF member; strong framework</t>
  </si>
  <si>
    <t>Israel</t>
  </si>
  <si>
    <t>Middle East</t>
  </si>
  <si>
    <t>FATF member</t>
  </si>
  <si>
    <t>Bahrain</t>
  </si>
  <si>
    <t>CBB regulated; growing compliance</t>
  </si>
  <si>
    <t>Botswana</t>
  </si>
  <si>
    <t>Africa</t>
  </si>
  <si>
    <t>Stable; FATF-compliant</t>
  </si>
  <si>
    <t>Brazil</t>
  </si>
  <si>
    <t>FATF member; large emerging market</t>
  </si>
  <si>
    <t>Chile</t>
  </si>
  <si>
    <t>FATF member; stable economy</t>
  </si>
  <si>
    <t>China</t>
  </si>
  <si>
    <t>FATF member; enhanced monitoring advised</t>
  </si>
  <si>
    <t>India</t>
  </si>
  <si>
    <t>FATF member; improving AML regime</t>
  </si>
  <si>
    <t>Indonesia</t>
  </si>
  <si>
    <t>FATF member; emerging market</t>
  </si>
  <si>
    <t>Kuwait</t>
  </si>
  <si>
    <t>FATF member; standard due diligence</t>
  </si>
  <si>
    <t>Malaysia</t>
  </si>
  <si>
    <t>FATF member; robust BNM oversight</t>
  </si>
  <si>
    <t>Mauritius</t>
  </si>
  <si>
    <t>FSC-regulated; previously EU-listed, now removed</t>
  </si>
  <si>
    <t>Mexico</t>
  </si>
  <si>
    <t>FATF member; monitor crime exposure</t>
  </si>
  <si>
    <t>Morocco</t>
  </si>
  <si>
    <t>FATF-style body member</t>
  </si>
  <si>
    <t>Oman</t>
  </si>
  <si>
    <t>CBO regulated; stable</t>
  </si>
  <si>
    <t>Qatar</t>
  </si>
  <si>
    <t>QCB regulated</t>
  </si>
  <si>
    <t>Rwanda</t>
  </si>
  <si>
    <t>Improving AML framework</t>
  </si>
  <si>
    <t>Saudi Arabia</t>
  </si>
  <si>
    <t>FATF member; SAMA regulated</t>
  </si>
  <si>
    <t>Seychelles</t>
  </si>
  <si>
    <t>IFC; FSA regulated</t>
  </si>
  <si>
    <t>Spain</t>
  </si>
  <si>
    <t>EU member; FATF member</t>
  </si>
  <si>
    <t>Turkey</t>
  </si>
  <si>
    <t>Europe/Asia</t>
  </si>
  <si>
    <t>Removed from grey list 2024; monitor progress</t>
  </si>
  <si>
    <t>UAE</t>
  </si>
  <si>
    <t>Removed from FATF grey list June 2024; enhanced monitoring still advised</t>
  </si>
  <si>
    <t>Uganda</t>
  </si>
  <si>
    <t>Improving compliance framework</t>
  </si>
  <si>
    <t>Ghana</t>
  </si>
  <si>
    <t>FATF-style body; improving AML</t>
  </si>
  <si>
    <t>Ivory Coast</t>
  </si>
  <si>
    <t>GIABA member; monitor closely</t>
  </si>
  <si>
    <t>Jordan</t>
  </si>
  <si>
    <t>Sri Lanka</t>
  </si>
  <si>
    <t>FATF member; post-crisis recovery</t>
  </si>
  <si>
    <t>Tunisia</t>
  </si>
  <si>
    <t>MENA-FATF member</t>
  </si>
  <si>
    <t>Algeria</t>
  </si>
  <si>
    <t>Grey List</t>
  </si>
  <si>
    <t>FATF grey list — enhanced due diligence required</t>
  </si>
  <si>
    <t>Burkina Faso</t>
  </si>
  <si>
    <t>FATF grey list — political instability</t>
  </si>
  <si>
    <t>Cameroon</t>
  </si>
  <si>
    <t>FATF grey list</t>
  </si>
  <si>
    <t>Democratic Rep. Congo</t>
  </si>
  <si>
    <t>FATF grey list — high corruption</t>
  </si>
  <si>
    <t>Haiti</t>
  </si>
  <si>
    <t>FATF grey list — political/economic crisis</t>
  </si>
  <si>
    <t>Kenya</t>
  </si>
  <si>
    <t>FATF grey list — AML deficiencies</t>
  </si>
  <si>
    <t>Laos</t>
  </si>
  <si>
    <t>Lebanon</t>
  </si>
  <si>
    <t>FATF grey list — financial crisis</t>
  </si>
  <si>
    <t>Mali</t>
  </si>
  <si>
    <t>FATF grey list — security issues</t>
  </si>
  <si>
    <t>Monaco</t>
  </si>
  <si>
    <t>Mozambique</t>
  </si>
  <si>
    <t>Namibia</t>
  </si>
  <si>
    <t>Nigeria</t>
  </si>
  <si>
    <t>FATF grey list — largest African economy; monitor closely</t>
  </si>
  <si>
    <t>Philippines</t>
  </si>
  <si>
    <t>Senegal</t>
  </si>
  <si>
    <t>South Africa</t>
  </si>
  <si>
    <t>FATF grey list added 2023</t>
  </si>
  <si>
    <t>South Sudan</t>
  </si>
  <si>
    <t>No</t>
  </si>
  <si>
    <t>FATF grey list — conflict-affected</t>
  </si>
  <si>
    <t>Tanzania</t>
  </si>
  <si>
    <t>Venezuela</t>
  </si>
  <si>
    <t>FATF grey list — economic collapse</t>
  </si>
  <si>
    <t>Vietnam</t>
  </si>
  <si>
    <t>Yemen</t>
  </si>
  <si>
    <t>Panama</t>
  </si>
  <si>
    <t>FATF grey list; offshore centre</t>
  </si>
  <si>
    <t>Ethiopia</t>
  </si>
  <si>
    <t>Afghanistan</t>
  </si>
  <si>
    <t>Black List</t>
  </si>
  <si>
    <t>FATF black list — Taliban governance</t>
  </si>
  <si>
    <t>Iran</t>
  </si>
  <si>
    <t>FATF black list — call for action; US/EU/UN sanctioned</t>
  </si>
  <si>
    <t>Myanmar</t>
  </si>
  <si>
    <t>FATF black list — military coup; call for action</t>
  </si>
  <si>
    <t>North Korea</t>
  </si>
  <si>
    <t>FATF black list — call for action; UN sanctioned</t>
  </si>
  <si>
    <t>Russia</t>
  </si>
  <si>
    <t>Suspended</t>
  </si>
  <si>
    <t>Suspended from FATF Feb 2023; extensive sanctions</t>
  </si>
  <si>
    <t>Belarus</t>
  </si>
  <si>
    <t>Sanctioned</t>
  </si>
  <si>
    <t>EU/US sanctions</t>
  </si>
  <si>
    <t>Syria</t>
  </si>
  <si>
    <t>EU/US/UN sanctions; conflict-affected</t>
  </si>
  <si>
    <t>Cuba</t>
  </si>
  <si>
    <t>US OFAC sanctions</t>
  </si>
  <si>
    <t>Zimbabwe</t>
  </si>
  <si>
    <t>Not greylisted but high corruption; exercise caution</t>
  </si>
  <si>
    <t>Pakistan</t>
  </si>
  <si>
    <t>Removed from FATF grey list 2022; enhanced monitoring</t>
  </si>
  <si>
    <t>NOTE: FATF grey list and black list are updated at each FATF Plenary (February, June, October). This table must be reviewed and updated following each plenary. Source: FATF (fatf-gafi.org) | Last updated: March 2026</t>
  </si>
  <si>
    <t>ARIE FINANCE LTD — RISK SCORING MODEL: METHODOLOGY</t>
  </si>
  <si>
    <t>AML/CFT Risk Assessment Framework — Version 1.2</t>
  </si>
  <si>
    <t xml:space="preserve">  PURPOSE</t>
  </si>
  <si>
    <t>This model provides a standardised, repeatable risk assessment framework for all corporate clients applying for Payment Intermediary Services (PIS) through ARIE Finance Ltd. It is designed to comply with the FATF Risk-Based Approach for banking and payment institutions.</t>
  </si>
  <si>
    <t xml:space="preserve">  REGULATORY BASIS</t>
  </si>
  <si>
    <t>FATF Recommendations (2012, updated 2023) | FATF Risk-Based Approach Guidance: Banking Sector | FSC Mauritius AML/CFT Guidelines | Bank of Mauritius AML/CFT Guideline (2022)</t>
  </si>
  <si>
    <t xml:space="preserve">  SCORING SCALE</t>
  </si>
  <si>
    <t>Each sub-factor is scored on a 1–4 scale:
  1 = Low Risk
  2 = Medium Risk
  3 = High Risk
  4 = Very High Risk</t>
  </si>
  <si>
    <t xml:space="preserve">  DIMENSION WEIGHTS</t>
  </si>
  <si>
    <t>Dimension 1: Customer / Entity Risk — 25%
Dimension 2: Geographic Risk — 22%
Dimension 3: Product / Service Risk — 18%
Dimension 4: Industry / Sector Risk — 13%
Dimension 5: Delivery Channel Risk — 7%
Dimension 6: Source of Wealth &amp; Funds — 15%
Total: 100%</t>
  </si>
  <si>
    <t xml:space="preserve">  COMPOSITE SCORE</t>
  </si>
  <si>
    <t>The weighted composite score is calculated as:
  Score = (Sum of all dimension weighted scores ÷ 4) × 100
This produces a normalised score from 0 to 100.</t>
  </si>
  <si>
    <t xml:space="preserve">  RISK THRESHOLDS</t>
  </si>
  <si>
    <t>Low Risk: Score 0–39 → Simplified Due Diligence (SDD)
Medium Risk: Score 40–69 → Customer Due Diligence (CDD)
High Risk: Score 70–100 → Enhanced Due Diligence (EDD)</t>
  </si>
  <si>
    <t xml:space="preserve">  COMPLIANCE ESCALATION</t>
  </si>
  <si>
    <t>Compliance approval is MANDATORY before proceeding when:
  (a) Any individual sub-factor scores 4 (Very High Risk), OR
  (b) The business sector is classified as Very High Risk, OR
  (c) The overall composite score is 85 or above.
All escalated cases must be reviewed and approved by the Chief Compliance Officer.</t>
  </si>
  <si>
    <t xml:space="preserve">  DUE DILIGENCE LEVELS</t>
  </si>
  <si>
    <t>SDD (Low Risk): Standard identity verification, basic UBO check, standard document collection
CDD (Medium Risk): Full KYC, UBO verification, source of funds, business verification
EDD (High Risk): All CDD plus senior management approval, enhanced source of funds/wealth, ongoing enhanced monitoring, annual review</t>
  </si>
  <si>
    <t xml:space="preserve">  VERY HIGH RISK SECTORS</t>
  </si>
  <si>
    <t>The following sectors are automatically flagged for compliance approval regardless of overall score:
  • Cryptocurrency / Virtual Asset Services
  • Gambling / Gaming / Betting
  • Arms / Defence / Military Equipment
  • Adult Entertainment
  • Shell Company / Nominee Services</t>
  </si>
  <si>
    <t xml:space="preserve">  REVIEW SCHEDULE</t>
  </si>
  <si>
    <t>This model must be reviewed:
  • Annually as part of the AML/CFT annual review
  • Following each FATF Plenary (February, June, October)
  • Following any material change to ARIE Finance's business model or client base
  • Following any regulatory guidance update from FSC Mauritius or Bank of Mauritius</t>
  </si>
  <si>
    <t xml:space="preserve">  VERSION CONTROL</t>
  </si>
  <si>
    <t>Version 1.2 — 12 March 2026
Change: Added Dimension 6 (Source of Wealth &amp; Funds), rebalanced weights
Owner: Chief Compliance Officer, ARIE Finance Ltd
Approved by: Board of Directors, ARIE Finance Ltd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</si>
</sst>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6" x14ac:knownFonts="1">
    <font>
      <sz val="11"/>
      <color theme="1"/>
      <name val="Calibri"/>
      <family val="2"/>
      <charset val="1"/>
    </font>
    <font>
      <b/>
      <sz val="15"/>
      <color rgb="FFFFFFFF"/>
      <name val="Arial"/>
      <family val="2"/>
    </font>
    <font>
      <i/>
      <sz val="10"/>
      <color rgb="FFFFFFFF"/>
      <name val="Arial"/>
      <family val="2"/>
    </font>
    <font>
      <b/>
      <sz val="10"/>
      <color rgb="FF1A1D2E"/>
      <name val="Arial"/>
      <family val="2"/>
    </font>
    <font>
      <sz val="10"/>
      <color rgb="FF0000FF"/>
      <name val="Arial"/>
      <family val="2"/>
    </font>
    <font>
      <b/>
      <sz val="9"/>
      <color rgb="FFFFFFFF"/>
      <name val="Arial"/>
      <family val="2"/>
    </font>
    <font>
      <b/>
      <sz val="10"/>
      <color rgb="FFFFFFFF"/>
      <name val="Arial"/>
      <family val="2"/>
    </font>
    <font>
      <sz val="10"/>
      <color rgb="FF1A1D2E"/>
      <name val="Arial"/>
      <family val="2"/>
    </font>
    <font>
      <i/>
      <sz val="9"/>
      <color rgb="FFFFFFFF"/>
      <name val="Arial"/>
      <family val="2"/>
    </font>
    <font>
      <sz val="11"/>
      <name val="Cambria"/>
      <family val="1"/>
    </font>
    <font>
      <b/>
      <sz val="11"/>
      <color rgb="FFFFFFFF"/>
      <name val="Arial"/>
      <family val="2"/>
    </font>
    <font>
      <i/>
      <sz val="9"/>
      <color rgb="FF1A1D2E"/>
      <name val="Arial"/>
      <family val="2"/>
    </font>
    <font>
      <b/>
      <sz val="14"/>
      <color rgb="FF1A1D2E"/>
      <name val="Arial"/>
      <family val="2"/>
    </font>
    <font>
      <b/>
      <sz val="12"/>
      <color rgb="FF1A1D2E"/>
      <name val="Arial"/>
      <family val="2"/>
    </font>
    <font>
      <i/>
      <sz val="8"/>
      <color rgb="FF888888"/>
      <name val="Arial"/>
      <family val="2"/>
    </font>
    <font>
      <b/>
      <sz val="12"/>
      <color rgb="FFFFFFFF"/>
      <name val="Arial"/>
      <family val="2"/>
    </font>
    <font>
      <sz val="9"/>
      <color rgb="FF1A1D2E"/>
      <name val="Arial"/>
      <family val="2"/>
    </font>
    <font>
      <b/>
      <sz val="9"/>
      <color rgb="FF1E8449"/>
      <name val="Arial"/>
      <family val="2"/>
    </font>
    <font>
      <sz val="9"/>
      <color rgb="FF1E8449"/>
      <name val="Arial"/>
      <family val="2"/>
    </font>
    <font>
      <b/>
      <sz val="9"/>
      <color rgb="FFB7950B"/>
      <name val="Arial"/>
      <family val="2"/>
    </font>
    <font>
      <sz val="9"/>
      <color rgb="FFB7950B"/>
      <name val="Arial"/>
      <family val="2"/>
    </font>
    <font>
      <b/>
      <sz val="9"/>
      <color rgb="FFCA6F1E"/>
      <name val="Arial"/>
      <family val="2"/>
    </font>
    <font>
      <sz val="9"/>
      <color rgb="FFCA6F1E"/>
      <name val="Arial"/>
      <family val="2"/>
    </font>
    <font>
      <b/>
      <sz val="9"/>
      <color rgb="FFC0392B"/>
      <name val="Arial"/>
      <family val="2"/>
    </font>
    <font>
      <sz val="9"/>
      <color rgb="FFC0392B"/>
      <name val="Arial"/>
      <family val="2"/>
    </font>
    <font>
      <b/>
      <sz val="13"/>
      <color rgb="FFFFFFFF"/>
      <name val="Arial"/>
      <family val="2"/>
    </font>
  </fonts>
  <fills count="12">
    <fill>
      <patternFill patternType="none"/>
    </fill>
    <fill>
      <patternFill patternType="gray125"/>
    </fill>
    <fill>
      <patternFill patternType="solid">
        <fgColor rgb="FF2B2F8F"/>
        <bgColor rgb="FF003366"/>
      </patternFill>
    </fill>
    <fill>
      <patternFill patternType="solid">
        <fgColor rgb="FF1A75CB"/>
        <bgColor rgb="FF3366FF"/>
      </patternFill>
    </fill>
    <fill>
      <patternFill patternType="solid">
        <fgColor rgb="FFF4F6FA"/>
        <bgColor rgb="FFEEF2FA"/>
      </patternFill>
    </fill>
    <fill>
      <patternFill patternType="solid">
        <fgColor rgb="FFFFFFFF"/>
        <bgColor rgb="FFFEF9E7"/>
      </patternFill>
    </fill>
    <fill>
      <patternFill patternType="solid">
        <fgColor rgb="FFEEF2FA"/>
        <bgColor rgb="FFF4F6FA"/>
      </patternFill>
    </fill>
    <fill>
      <patternFill patternType="solid">
        <fgColor rgb="FFB8955A"/>
        <bgColor rgb="FFB7950B"/>
      </patternFill>
    </fill>
    <fill>
      <patternFill patternType="solid">
        <fgColor rgb="FFD5F5E3"/>
        <bgColor rgb="FFEEF2FA"/>
      </patternFill>
    </fill>
    <fill>
      <patternFill patternType="solid">
        <fgColor rgb="FFFEF9E7"/>
        <bgColor rgb="FFF4F6FA"/>
      </patternFill>
    </fill>
    <fill>
      <patternFill patternType="solid">
        <fgColor rgb="FFFAE5D3"/>
        <bgColor rgb="FFFADBD8"/>
      </patternFill>
    </fill>
    <fill>
      <patternFill patternType="solid">
        <fgColor rgb="FFFADBD8"/>
        <bgColor rgb="FFFAE5D3"/>
      </patternFill>
    </fill>
  </fills>
  <borders count="3">
    <border>
      <left/>
      <right/>
      <top/>
      <bottom/>
      <diagonal/>
    </border>
    <border>
      <left style="thin">
        <color rgb="FFCCCCCC"/>
      </left>
      <right/>
      <top style="thin">
        <color rgb="FFCCCCCC"/>
      </top>
      <bottom style="thin">
        <color rgb="FFCCCCCC"/>
      </bottom>
      <diagonal/>
    </border>
    <border>
      <left style="thin">
        <color rgb="FFCCCCCC"/>
      </left>
      <right style="thin">
        <color rgb="FFCCCCCC"/>
      </right>
      <top style="thin">
        <color rgb="FFCCCCCC"/>
      </top>
      <bottom style="thin">
        <color rgb="FFCCCCCC"/>
      </bottom>
      <diagonal/>
    </border>
  </borders>
  <cellStyleXfs count="1">
    <xf numFmtId="0" fontId="0" fillId="0" borderId="0"/>
  </cellStyleXfs>
  <cellXfs count="50">
    <xf numFmtId="0" fontId="0" fillId="0" borderId="0" xfId="0"/>
    <xf numFmtId="0" fontId="3" fillId="4" borderId="2" xfId="0" applyFont="1" applyFill="1" applyBorder="1" applyAlignment="1">
      <alignment horizontal="left" vertical="center" wrapText="1"/>
    </xf>
    <xf numFmtId="0" fontId="5" fillId="2" borderId="2" xfId="0" applyFont="1" applyFill="1" applyBorder="1" applyAlignment="1">
      <alignment horizontal="center" vertical="center" wrapText="1"/>
    </xf>
    <xf numFmtId="0" fontId="7" fillId="5" borderId="2" xfId="0" applyFont="1" applyFill="1" applyBorder="1" applyAlignment="1">
      <alignment horizontal="left" vertical="center" wrapText="1"/>
    </xf>
    <xf numFmtId="0" fontId="4" fillId="5" borderId="2" xfId="0" applyFont="1" applyFill="1" applyBorder="1" applyAlignment="1">
      <alignment horizontal="left" vertical="center" wrapText="1"/>
    </xf>
    <xf numFmtId="1" fontId="3" fillId="5" borderId="2" xfId="0" applyNumberFormat="1" applyFont="1" applyFill="1" applyBorder="1" applyAlignment="1">
      <alignment horizontal="center" vertical="center" wrapText="1"/>
    </xf>
    <xf numFmtId="9" fontId="7" fillId="5" borderId="2" xfId="0" applyNumberFormat="1" applyFont="1" applyFill="1" applyBorder="1" applyAlignment="1">
      <alignment horizontal="center" vertical="center" wrapText="1"/>
    </xf>
    <xf numFmtId="2" fontId="7" fillId="5" borderId="2" xfId="0" applyNumberFormat="1" applyFont="1" applyFill="1" applyBorder="1" applyAlignment="1">
      <alignment horizontal="center" vertical="center" wrapText="1"/>
    </xf>
    <xf numFmtId="0" fontId="7" fillId="6" borderId="2" xfId="0" applyFont="1" applyFill="1" applyBorder="1" applyAlignment="1">
      <alignment horizontal="left" vertical="center" wrapText="1"/>
    </xf>
    <xf numFmtId="1" fontId="3" fillId="6" borderId="2" xfId="0" applyNumberFormat="1" applyFont="1" applyFill="1" applyBorder="1" applyAlignment="1">
      <alignment horizontal="center" vertical="center" wrapText="1"/>
    </xf>
    <xf numFmtId="9" fontId="7" fillId="6" borderId="2" xfId="0" applyNumberFormat="1" applyFont="1" applyFill="1" applyBorder="1" applyAlignment="1">
      <alignment horizontal="center" vertical="center" wrapText="1"/>
    </xf>
    <xf numFmtId="2" fontId="7" fillId="6" borderId="2" xfId="0" applyNumberFormat="1" applyFont="1" applyFill="1" applyBorder="1" applyAlignment="1">
      <alignment horizontal="center" vertical="center" wrapText="1"/>
    </xf>
    <xf numFmtId="0" fontId="6" fillId="7" borderId="2" xfId="0" applyFont="1" applyFill="1" applyBorder="1" applyAlignment="1">
      <alignment horizontal="left" vertical="center" wrapText="1"/>
    </xf>
    <xf numFmtId="9" fontId="6" fillId="7" borderId="2" xfId="0" applyNumberFormat="1" applyFont="1" applyFill="1" applyBorder="1" applyAlignment="1">
      <alignment horizontal="center" vertical="center" wrapText="1"/>
    </xf>
    <xf numFmtId="2" fontId="6" fillId="7" borderId="2" xfId="0" applyNumberFormat="1" applyFont="1" applyFill="1" applyBorder="1" applyAlignment="1">
      <alignment horizontal="center" vertical="center" wrapText="1"/>
    </xf>
    <xf numFmtId="0" fontId="9" fillId="0" borderId="0" xfId="0" applyFont="1" applyAlignment="1">
      <alignment horizontal="left" vertical="center" wrapText="1"/>
    </xf>
    <xf numFmtId="0" fontId="9" fillId="0" borderId="0" xfId="0" applyFont="1"/>
    <xf numFmtId="2" fontId="9" fillId="0" borderId="0" xfId="0" applyNumberFormat="1" applyFont="1" applyAlignment="1">
      <alignment horizontal="center" vertical="center" wrapText="1"/>
    </xf>
    <xf numFmtId="0" fontId="9" fillId="0" borderId="0" xfId="0" applyFont="1" applyAlignment="1">
      <alignment horizontal="center" vertical="center" wrapText="1"/>
    </xf>
    <xf numFmtId="164" fontId="12" fillId="4" borderId="2" xfId="0" applyNumberFormat="1" applyFont="1" applyFill="1" applyBorder="1" applyAlignment="1">
      <alignment horizontal="center" vertical="center" wrapText="1"/>
    </xf>
    <xf numFmtId="0" fontId="13" fillId="4" borderId="2" xfId="0" applyFont="1" applyFill="1" applyBorder="1" applyAlignment="1">
      <alignment horizontal="center" vertical="center" wrapText="1"/>
    </xf>
    <xf numFmtId="0" fontId="16" fillId="5" borderId="2" xfId="0" applyFont="1" applyFill="1" applyBorder="1" applyAlignment="1">
      <alignment horizontal="left" vertical="center" wrapText="1"/>
    </xf>
    <xf numFmtId="1" fontId="17" fillId="8" borderId="2" xfId="0" applyNumberFormat="1" applyFont="1" applyFill="1" applyBorder="1" applyAlignment="1">
      <alignment horizontal="center" vertical="center" wrapText="1"/>
    </xf>
    <xf numFmtId="0" fontId="18" fillId="8" borderId="2" xfId="0" applyFont="1" applyFill="1" applyBorder="1" applyAlignment="1">
      <alignment horizontal="center" vertical="center" wrapText="1"/>
    </xf>
    <xf numFmtId="0" fontId="16" fillId="6" borderId="2" xfId="0" applyFont="1" applyFill="1" applyBorder="1" applyAlignment="1">
      <alignment horizontal="left" vertical="center" wrapText="1"/>
    </xf>
    <xf numFmtId="1" fontId="19" fillId="9" borderId="2" xfId="0" applyNumberFormat="1" applyFont="1" applyFill="1" applyBorder="1" applyAlignment="1">
      <alignment horizontal="center" vertical="center" wrapText="1"/>
    </xf>
    <xf numFmtId="0" fontId="20" fillId="9" borderId="2" xfId="0" applyFont="1" applyFill="1" applyBorder="1" applyAlignment="1">
      <alignment horizontal="center" vertical="center" wrapText="1"/>
    </xf>
    <xf numFmtId="1" fontId="21" fillId="10" borderId="2" xfId="0" applyNumberFormat="1" applyFont="1" applyFill="1" applyBorder="1" applyAlignment="1">
      <alignment horizontal="center" vertical="center" wrapText="1"/>
    </xf>
    <xf numFmtId="0" fontId="22" fillId="10" borderId="2" xfId="0" applyFont="1" applyFill="1" applyBorder="1" applyAlignment="1">
      <alignment horizontal="center" vertical="center" wrapText="1"/>
    </xf>
    <xf numFmtId="1" fontId="23" fillId="11" borderId="2" xfId="0" applyNumberFormat="1" applyFont="1" applyFill="1" applyBorder="1" applyAlignment="1">
      <alignment horizontal="center" vertical="center" wrapText="1"/>
    </xf>
    <xf numFmtId="0" fontId="24" fillId="11" borderId="2"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16" fillId="5" borderId="2" xfId="0" applyFont="1" applyFill="1" applyBorder="1" applyAlignment="1">
      <alignment horizontal="center" vertical="center" wrapText="1"/>
    </xf>
    <xf numFmtId="0" fontId="17" fillId="8" borderId="2" xfId="0" applyFont="1" applyFill="1" applyBorder="1" applyAlignment="1">
      <alignment horizontal="center" vertical="center" wrapText="1"/>
    </xf>
    <xf numFmtId="0" fontId="16" fillId="6" borderId="2" xfId="0" applyFont="1" applyFill="1" applyBorder="1" applyAlignment="1">
      <alignment horizontal="center" vertical="center" wrapText="1"/>
    </xf>
    <xf numFmtId="0" fontId="19" fillId="9" borderId="2" xfId="0" applyFont="1" applyFill="1" applyBorder="1" applyAlignment="1">
      <alignment horizontal="center" vertical="center" wrapText="1"/>
    </xf>
    <xf numFmtId="0" fontId="21" fillId="10" borderId="2" xfId="0" applyFont="1" applyFill="1" applyBorder="1" applyAlignment="1">
      <alignment horizontal="center" vertical="center" wrapText="1"/>
    </xf>
    <xf numFmtId="0" fontId="23" fillId="11" borderId="2" xfId="0" applyFont="1" applyFill="1" applyBorder="1" applyAlignment="1">
      <alignment horizontal="center" vertical="center" wrapText="1"/>
    </xf>
    <xf numFmtId="0" fontId="3" fillId="4" borderId="1" xfId="0" applyFont="1" applyFill="1" applyBorder="1" applyAlignment="1">
      <alignment horizontal="left" vertical="center" wrapText="1"/>
    </xf>
    <xf numFmtId="0" fontId="14" fillId="5" borderId="0" xfId="0" applyFont="1" applyFill="1" applyAlignment="1">
      <alignment horizontal="left" vertical="center" wrapText="1"/>
    </xf>
    <xf numFmtId="0" fontId="8" fillId="7" borderId="1" xfId="0" applyFont="1" applyFill="1" applyBorder="1" applyAlignment="1">
      <alignment horizontal="center" vertical="center" wrapText="1"/>
    </xf>
    <xf numFmtId="0" fontId="10" fillId="2" borderId="1" xfId="0" applyFont="1" applyFill="1" applyBorder="1" applyAlignment="1">
      <alignment horizontal="left" vertical="center" wrapText="1"/>
    </xf>
    <xf numFmtId="0" fontId="11" fillId="4" borderId="1" xfId="0" applyFont="1" applyFill="1" applyBorder="1" applyAlignment="1">
      <alignment horizontal="center" vertical="center" wrapText="1"/>
    </xf>
    <xf numFmtId="0" fontId="6" fillId="3" borderId="1" xfId="0" applyFont="1" applyFill="1" applyBorder="1" applyAlignment="1">
      <alignment horizontal="left" vertical="center" wrapText="1"/>
    </xf>
    <xf numFmtId="0" fontId="4" fillId="5" borderId="1" xfId="0" applyFont="1" applyFill="1" applyBorder="1" applyAlignment="1">
      <alignment horizontal="left" vertical="center" wrapText="1"/>
    </xf>
    <xf numFmtId="0" fontId="1" fillId="2"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15" fillId="2" borderId="1" xfId="0" applyFont="1" applyFill="1" applyBorder="1" applyAlignment="1">
      <alignment horizontal="center" vertical="center" wrapText="1"/>
    </xf>
    <xf numFmtId="0" fontId="7" fillId="4" borderId="1" xfId="0" applyFont="1" applyFill="1" applyBorder="1" applyAlignment="1">
      <alignment horizontal="left" vertical="center" wrapText="1"/>
    </xf>
    <xf numFmtId="0" fontId="25" fillId="2" borderId="1" xfId="0" applyFont="1" applyFill="1" applyBorder="1" applyAlignment="1">
      <alignment horizontal="center" vertical="center" wrapText="1"/>
    </xf>
  </cellXfs>
  <cellStyles count="1">
    <cellStyle name="Normal" xfId="0" builtinId="0"/>
  </cellStyles>
  <dxfs count="41">
    <dxf>
      <font>
        <b/>
        <sz val="12"/>
        <color rgb="FF1E8449"/>
        <name val="Arial"/>
        <charset val="1"/>
      </font>
      <fill>
        <patternFill>
          <bgColor rgb="FFD5F5E3"/>
        </patternFill>
      </fill>
    </dxf>
    <dxf>
      <font>
        <b/>
        <sz val="12"/>
        <color rgb="FFB7950B"/>
        <name val="Arial"/>
        <charset val="1"/>
      </font>
      <fill>
        <patternFill>
          <bgColor rgb="FFFEF9E7"/>
        </patternFill>
      </fill>
    </dxf>
    <dxf>
      <font>
        <b/>
        <sz val="12"/>
        <color rgb="FFC0392B"/>
        <name val="Arial"/>
        <charset val="1"/>
      </font>
      <fill>
        <patternFill>
          <bgColor rgb="FFFADBD8"/>
        </patternFill>
      </fill>
    </dxf>
    <dxf>
      <font>
        <b/>
        <sz val="14"/>
        <color rgb="FF1E8449"/>
        <name val="Arial"/>
        <charset val="1"/>
      </font>
      <fill>
        <patternFill>
          <bgColor rgb="FFD5F5E3"/>
        </patternFill>
      </fill>
    </dxf>
    <dxf>
      <font>
        <b/>
        <sz val="14"/>
        <color rgb="FFB7950B"/>
        <name val="Arial"/>
        <charset val="1"/>
      </font>
      <fill>
        <patternFill>
          <bgColor rgb="FFFEF9E7"/>
        </patternFill>
      </fill>
    </dxf>
    <dxf>
      <font>
        <b/>
        <sz val="14"/>
        <color rgb="FFC0392B"/>
        <name val="Arial"/>
        <charset val="1"/>
      </font>
      <fill>
        <patternFill>
          <bgColor rgb="FFFADBD8"/>
        </patternFill>
      </fill>
    </dxf>
    <dxf>
      <font>
        <b/>
        <sz val="12"/>
        <color rgb="FFC0392B"/>
        <name val="Arial"/>
        <charset val="1"/>
      </font>
      <fill>
        <patternFill>
          <bgColor rgb="FFFADBD8"/>
        </patternFill>
      </fill>
    </dxf>
    <dxf>
      <font>
        <b/>
        <sz val="12"/>
        <color rgb="FFB7950B"/>
        <name val="Arial"/>
        <charset val="1"/>
      </font>
      <fill>
        <patternFill>
          <bgColor rgb="FFFEF9E7"/>
        </patternFill>
      </fill>
    </dxf>
    <dxf>
      <font>
        <b/>
        <sz val="12"/>
        <color rgb="FF1E8449"/>
        <name val="Arial"/>
        <charset val="1"/>
      </font>
      <fill>
        <patternFill>
          <bgColor rgb="FFD5F5E3"/>
        </patternFill>
      </fill>
    </dxf>
    <dxf>
      <font>
        <b/>
        <sz val="14"/>
        <color rgb="FFC0392B"/>
        <name val="Arial"/>
        <charset val="1"/>
      </font>
      <fill>
        <patternFill>
          <bgColor rgb="FFFADBD8"/>
        </patternFill>
      </fill>
    </dxf>
    <dxf>
      <font>
        <b/>
        <sz val="14"/>
        <color rgb="FFB7950B"/>
        <name val="Arial"/>
        <charset val="1"/>
      </font>
      <fill>
        <patternFill>
          <bgColor rgb="FFFEF9E7"/>
        </patternFill>
      </fill>
    </dxf>
    <dxf>
      <font>
        <b/>
        <sz val="14"/>
        <color rgb="FF1E8449"/>
        <name val="Arial"/>
        <charset val="1"/>
      </font>
      <fill>
        <patternFill>
          <bgColor rgb="FFD5F5E3"/>
        </patternFill>
      </fill>
    </dxf>
    <dxf>
      <font>
        <b/>
        <sz val="14"/>
        <color rgb="FF1A1D2E"/>
        <name val="Arial"/>
        <charset val="1"/>
      </font>
      <fill>
        <patternFill>
          <bgColor rgb="FFF4F6FA"/>
        </patternFill>
      </fill>
    </dxf>
    <dxf>
      <font>
        <b/>
        <sz val="10"/>
        <color rgb="FF1E8449"/>
        <name val="Arial"/>
        <charset val="1"/>
      </font>
      <fill>
        <patternFill>
          <bgColor rgb="FFD5F5E3"/>
        </patternFill>
      </fill>
    </dxf>
    <dxf>
      <font>
        <b/>
        <sz val="10"/>
        <color rgb="FFB7950B"/>
        <name val="Arial"/>
        <charset val="1"/>
      </font>
      <fill>
        <patternFill>
          <bgColor rgb="FFFEF9E7"/>
        </patternFill>
      </fill>
    </dxf>
    <dxf>
      <font>
        <b/>
        <sz val="10"/>
        <color rgb="FFCA6F1E"/>
        <name val="Arial"/>
        <charset val="1"/>
      </font>
      <fill>
        <patternFill>
          <bgColor rgb="FFFAE5D3"/>
        </patternFill>
      </fill>
    </dxf>
    <dxf>
      <font>
        <b/>
        <sz val="10"/>
        <color rgb="FFC0392B"/>
        <name val="Arial"/>
        <charset val="1"/>
      </font>
      <fill>
        <patternFill>
          <bgColor rgb="FFFADBD8"/>
        </patternFill>
      </fill>
    </dxf>
    <dxf>
      <font>
        <b/>
        <sz val="10"/>
        <color rgb="FFC0392B"/>
        <name val="Arial"/>
        <charset val="1"/>
      </font>
      <fill>
        <patternFill>
          <bgColor rgb="FFFADBD8"/>
        </patternFill>
      </fill>
    </dxf>
    <dxf>
      <font>
        <b/>
        <sz val="10"/>
        <color rgb="FFCA6F1E"/>
        <name val="Arial"/>
        <charset val="1"/>
      </font>
      <fill>
        <patternFill>
          <bgColor rgb="FFFAE5D3"/>
        </patternFill>
      </fill>
    </dxf>
    <dxf>
      <font>
        <b/>
        <sz val="10"/>
        <color rgb="FFB7950B"/>
        <name val="Arial"/>
        <charset val="1"/>
      </font>
      <fill>
        <patternFill>
          <bgColor rgb="FFFEF9E7"/>
        </patternFill>
      </fill>
    </dxf>
    <dxf>
      <font>
        <b/>
        <sz val="10"/>
        <color rgb="FF1E8449"/>
        <name val="Arial"/>
        <charset val="1"/>
      </font>
      <fill>
        <patternFill>
          <bgColor rgb="FFD5F5E3"/>
        </patternFill>
      </fill>
    </dxf>
    <dxf>
      <font>
        <b/>
        <sz val="10"/>
        <color rgb="FFC0392B"/>
        <name val="Arial"/>
        <charset val="1"/>
      </font>
      <fill>
        <patternFill>
          <bgColor rgb="FFFADBD8"/>
        </patternFill>
      </fill>
    </dxf>
    <dxf>
      <font>
        <b/>
        <sz val="10"/>
        <color rgb="FFCA6F1E"/>
        <name val="Arial"/>
        <charset val="1"/>
      </font>
      <fill>
        <patternFill>
          <bgColor rgb="FFFAE5D3"/>
        </patternFill>
      </fill>
    </dxf>
    <dxf>
      <font>
        <b/>
        <sz val="10"/>
        <color rgb="FFB7950B"/>
        <name val="Arial"/>
        <charset val="1"/>
      </font>
      <fill>
        <patternFill>
          <bgColor rgb="FFFEF9E7"/>
        </patternFill>
      </fill>
    </dxf>
    <dxf>
      <font>
        <b/>
        <sz val="10"/>
        <color rgb="FF1E8449"/>
        <name val="Arial"/>
        <charset val="1"/>
      </font>
      <fill>
        <patternFill>
          <bgColor rgb="FFD5F5E3"/>
        </patternFill>
      </fill>
    </dxf>
    <dxf>
      <font>
        <b/>
        <sz val="10"/>
        <color rgb="FFC0392B"/>
        <name val="Arial"/>
        <charset val="1"/>
      </font>
      <fill>
        <patternFill>
          <bgColor rgb="FFFADBD8"/>
        </patternFill>
      </fill>
    </dxf>
    <dxf>
      <font>
        <b/>
        <sz val="10"/>
        <color rgb="FFCA6F1E"/>
        <name val="Arial"/>
        <charset val="1"/>
      </font>
      <fill>
        <patternFill>
          <bgColor rgb="FFFAE5D3"/>
        </patternFill>
      </fill>
    </dxf>
    <dxf>
      <font>
        <b/>
        <sz val="10"/>
        <color rgb="FFB7950B"/>
        <name val="Arial"/>
        <charset val="1"/>
      </font>
      <fill>
        <patternFill>
          <bgColor rgb="FFFEF9E7"/>
        </patternFill>
      </fill>
    </dxf>
    <dxf>
      <font>
        <b/>
        <sz val="10"/>
        <color rgb="FF1E8449"/>
        <name val="Arial"/>
        <charset val="1"/>
      </font>
      <fill>
        <patternFill>
          <bgColor rgb="FFD5F5E3"/>
        </patternFill>
      </fill>
    </dxf>
    <dxf>
      <font>
        <b/>
        <sz val="10"/>
        <color rgb="FFB7950B"/>
        <name val="Arial"/>
        <charset val="1"/>
      </font>
      <fill>
        <patternFill>
          <bgColor rgb="FFFEF9E7"/>
        </patternFill>
      </fill>
    </dxf>
    <dxf>
      <font>
        <b/>
        <sz val="10"/>
        <color rgb="FF1E8449"/>
        <name val="Arial"/>
        <charset val="1"/>
      </font>
      <fill>
        <patternFill>
          <bgColor rgb="FFD5F5E3"/>
        </patternFill>
      </fill>
    </dxf>
    <dxf>
      <font>
        <b/>
        <sz val="10"/>
        <color rgb="FFC0392B"/>
        <name val="Arial"/>
        <charset val="1"/>
      </font>
      <fill>
        <patternFill>
          <bgColor rgb="FFFADBD8"/>
        </patternFill>
      </fill>
    </dxf>
    <dxf>
      <font>
        <b/>
        <sz val="10"/>
        <color rgb="FFCA6F1E"/>
        <name val="Arial"/>
        <charset val="1"/>
      </font>
      <fill>
        <patternFill>
          <bgColor rgb="FFFAE5D3"/>
        </patternFill>
      </fill>
    </dxf>
    <dxf>
      <font>
        <b/>
        <sz val="10"/>
        <color rgb="FFC0392B"/>
        <name val="Arial"/>
        <charset val="1"/>
      </font>
      <fill>
        <patternFill>
          <bgColor rgb="FFFADBD8"/>
        </patternFill>
      </fill>
    </dxf>
    <dxf>
      <font>
        <b/>
        <sz val="10"/>
        <color rgb="FFB7950B"/>
        <name val="Arial"/>
        <charset val="1"/>
      </font>
      <fill>
        <patternFill>
          <bgColor rgb="FFFEF9E7"/>
        </patternFill>
      </fill>
    </dxf>
    <dxf>
      <font>
        <b/>
        <sz val="10"/>
        <color rgb="FFCA6F1E"/>
        <name val="Arial"/>
        <charset val="1"/>
      </font>
      <fill>
        <patternFill>
          <bgColor rgb="FFFAE5D3"/>
        </patternFill>
      </fill>
    </dxf>
    <dxf>
      <font>
        <b/>
        <sz val="10"/>
        <color rgb="FF1E8449"/>
        <name val="Arial"/>
        <charset val="1"/>
      </font>
      <fill>
        <patternFill>
          <bgColor rgb="FFD5F5E3"/>
        </patternFill>
      </fill>
    </dxf>
    <dxf>
      <font>
        <b/>
        <sz val="10"/>
        <color rgb="FFC0392B"/>
        <name val="Arial"/>
        <charset val="1"/>
      </font>
      <fill>
        <patternFill>
          <bgColor rgb="FFFADBD8"/>
        </patternFill>
      </fill>
    </dxf>
    <dxf>
      <font>
        <b/>
        <sz val="10"/>
        <color rgb="FF1E8449"/>
        <name val="Arial"/>
        <charset val="1"/>
      </font>
      <fill>
        <patternFill>
          <bgColor rgb="FFD5F5E3"/>
        </patternFill>
      </fill>
    </dxf>
    <dxf>
      <font>
        <b/>
        <sz val="10"/>
        <color rgb="FFC0392B"/>
        <name val="Arial"/>
        <charset val="1"/>
      </font>
      <fill>
        <patternFill>
          <bgColor rgb="FFFADBD8"/>
        </patternFill>
      </fill>
    </dxf>
    <dxf>
      <font>
        <b/>
        <sz val="10"/>
        <color rgb="FF1E8449"/>
        <name val="Arial"/>
        <charset val="1"/>
      </font>
      <fill>
        <patternFill>
          <bgColor rgb="FFD5F5E3"/>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B7950B"/>
      <rgbColor rgb="FF800080"/>
      <rgbColor rgb="FF008080"/>
      <rgbColor rgb="FFCCCCCC"/>
      <rgbColor rgb="FF888888"/>
      <rgbColor rgb="FF9999FF"/>
      <rgbColor rgb="FF993366"/>
      <rgbColor rgb="FFFEF9E7"/>
      <rgbColor rgb="FFEEF2FA"/>
      <rgbColor rgb="FF660066"/>
      <rgbColor rgb="FFFF8080"/>
      <rgbColor rgb="FF1A75CB"/>
      <rgbColor rgb="FFCCCCFF"/>
      <rgbColor rgb="FF000080"/>
      <rgbColor rgb="FFFF00FF"/>
      <rgbColor rgb="FFFFFF00"/>
      <rgbColor rgb="FF00FFFF"/>
      <rgbColor rgb="FF800080"/>
      <rgbColor rgb="FF800000"/>
      <rgbColor rgb="FF008080"/>
      <rgbColor rgb="FF0000FF"/>
      <rgbColor rgb="FF00CCFF"/>
      <rgbColor rgb="FFF4F6FA"/>
      <rgbColor rgb="FFD5F5E3"/>
      <rgbColor rgb="FFFAE5D3"/>
      <rgbColor rgb="FF99CCFF"/>
      <rgbColor rgb="FFFF99CC"/>
      <rgbColor rgb="FFCC99FF"/>
      <rgbColor rgb="FFFADBD8"/>
      <rgbColor rgb="FF3366FF"/>
      <rgbColor rgb="FF33CCCC"/>
      <rgbColor rgb="FF99CC00"/>
      <rgbColor rgb="FFFFCC00"/>
      <rgbColor rgb="FFFF9900"/>
      <rgbColor rgb="FFCA6F1E"/>
      <rgbColor rgb="FF666699"/>
      <rgbColor rgb="FFB8955A"/>
      <rgbColor rgb="FF003366"/>
      <rgbColor rgb="FF1E8449"/>
      <rgbColor rgb="FF003300"/>
      <rgbColor rgb="FF333300"/>
      <rgbColor rgb="FFC0392B"/>
      <rgbColor rgb="FF993366"/>
      <rgbColor rgb="FF2B2F8F"/>
      <rgbColor rgb="FF1A1D2E"/>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9DE9581-0F3D-2449-BD39-7714FBEA275D}">
  <we:reference id="wa200009404" version="1.0.0.8" store="en-US" storeType="OMEX"/>
  <we:alternateReferences>
    <we:reference id="wa200009404" version="1.0.0.8" store="en-US" storeType="OMEX"/>
  </we:alternateReferences>
  <we:properties>
    <we:property name="Office.AutoShowTaskpaneWithDocument" value="true"/>
  </we:properties>
  <we:bindings/>
  <we:snapshot xmlns:r="http://schemas.openxmlformats.org/officeDocument/2006/relationships"/>
</we:webextension>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E52"/>
  <sheetViews>
    <sheetView showGridLines="0" topLeftCell="A7" zoomScaleNormal="100" workbookViewId="0">
      <selection activeCell="B21" sqref="B21"/>
    </sheetView>
  </sheetViews>
  <sheetFormatPr baseColWidth="10" defaultColWidth="8.6640625" defaultRowHeight="15" customHeight="1" x14ac:dyDescent="0.2"/>
  <cols>
    <col min="1" max="1" width="44" customWidth="1"/>
    <col min="2" max="2" width="50" customWidth="1"/>
    <col min="3" max="3" width="14" customWidth="1"/>
    <col min="4" max="5" width="16" customWidth="1"/>
  </cols>
  <sheetData>
    <row r="1" spans="1:5" ht="43.5" customHeight="1" x14ac:dyDescent="0.2">
      <c r="A1" s="45" t="s">
        <v>0</v>
      </c>
      <c r="B1" s="45"/>
      <c r="C1" s="45"/>
      <c r="D1" s="45"/>
      <c r="E1" s="45"/>
    </row>
    <row r="2" spans="1:5" ht="21.75" customHeight="1" x14ac:dyDescent="0.2">
      <c r="A2" s="46" t="s">
        <v>1</v>
      </c>
      <c r="B2" s="46"/>
      <c r="C2" s="46"/>
      <c r="D2" s="46"/>
      <c r="E2" s="46"/>
    </row>
    <row r="4" spans="1:5" ht="19.5" customHeight="1" x14ac:dyDescent="0.2">
      <c r="A4" s="1" t="s">
        <v>2</v>
      </c>
      <c r="B4" s="44"/>
      <c r="C4" s="44"/>
      <c r="D4" s="44"/>
      <c r="E4" s="44"/>
    </row>
    <row r="5" spans="1:5" ht="19.5" customHeight="1" x14ac:dyDescent="0.2">
      <c r="A5" s="1" t="s">
        <v>3</v>
      </c>
      <c r="B5" s="44"/>
      <c r="C5" s="44"/>
      <c r="D5" s="44"/>
      <c r="E5" s="44"/>
    </row>
    <row r="6" spans="1:5" ht="19.5" customHeight="1" x14ac:dyDescent="0.2">
      <c r="A6" s="1" t="s">
        <v>4</v>
      </c>
      <c r="B6" s="44" t="s">
        <v>5</v>
      </c>
      <c r="C6" s="44"/>
      <c r="D6" s="44"/>
      <c r="E6" s="44"/>
    </row>
    <row r="7" spans="1:5" ht="19.5" customHeight="1" x14ac:dyDescent="0.2">
      <c r="A7" s="1" t="s">
        <v>6</v>
      </c>
      <c r="B7" s="44"/>
      <c r="C7" s="44"/>
      <c r="D7" s="44"/>
      <c r="E7" s="44"/>
    </row>
    <row r="8" spans="1:5" ht="6" customHeight="1" x14ac:dyDescent="0.2"/>
    <row r="9" spans="1:5" ht="21.75" customHeight="1" x14ac:dyDescent="0.2">
      <c r="A9" s="2" t="s">
        <v>7</v>
      </c>
      <c r="B9" s="2" t="s">
        <v>8</v>
      </c>
      <c r="C9" s="2" t="s">
        <v>9</v>
      </c>
      <c r="D9" s="2" t="s">
        <v>10</v>
      </c>
      <c r="E9" s="2" t="s">
        <v>11</v>
      </c>
    </row>
    <row r="10" spans="1:5" ht="21.75" customHeight="1" x14ac:dyDescent="0.2">
      <c r="A10" s="43" t="s">
        <v>12</v>
      </c>
      <c r="B10" s="43"/>
      <c r="C10" s="43"/>
      <c r="D10" s="43"/>
      <c r="E10" s="43"/>
    </row>
    <row r="11" spans="1:5" ht="19.5" customHeight="1" x14ac:dyDescent="0.2">
      <c r="A11" s="3" t="s">
        <v>13</v>
      </c>
      <c r="B11" s="4" t="s">
        <v>57</v>
      </c>
      <c r="C11" s="5">
        <f>IFERROR(VLOOKUP(B11,'Score Reference'!$A$3:$B$11,2,FALSE()),0)</f>
        <v>3</v>
      </c>
      <c r="D11" s="6">
        <v>0.2</v>
      </c>
      <c r="E11" s="7">
        <f t="shared" ref="E11:E16" si="0">IF(ISNUMBER(C11),C11*D11,0)</f>
        <v>0.60000000000000009</v>
      </c>
    </row>
    <row r="12" spans="1:5" ht="19.5" customHeight="1" x14ac:dyDescent="0.2">
      <c r="A12" s="8" t="s">
        <v>14</v>
      </c>
      <c r="B12" s="4" t="s">
        <v>62</v>
      </c>
      <c r="C12" s="9">
        <f>IFERROR(VLOOKUP(B12,'Score Reference'!$A$16:$B$19,2,FALSE()),0)</f>
        <v>1</v>
      </c>
      <c r="D12" s="10">
        <v>0.2</v>
      </c>
      <c r="E12" s="11">
        <f t="shared" si="0"/>
        <v>0.2</v>
      </c>
    </row>
    <row r="13" spans="1:5" ht="19.5" customHeight="1" x14ac:dyDescent="0.2">
      <c r="A13" s="3" t="s">
        <v>15</v>
      </c>
      <c r="B13" s="4" t="s">
        <v>67</v>
      </c>
      <c r="C13" s="5">
        <f>IFERROR(VLOOKUP(B13,'Score Reference'!$A$24:$B$27,2,FALSE()),0)</f>
        <v>1</v>
      </c>
      <c r="D13" s="6">
        <v>0.25</v>
      </c>
      <c r="E13" s="7">
        <f t="shared" si="0"/>
        <v>0.25</v>
      </c>
    </row>
    <row r="14" spans="1:5" ht="19.5" customHeight="1" x14ac:dyDescent="0.2">
      <c r="A14" s="8" t="s">
        <v>16</v>
      </c>
      <c r="B14" s="4" t="s">
        <v>73</v>
      </c>
      <c r="C14" s="9">
        <f>IFERROR(VLOOKUP(B14,'Score Reference'!$A$32:$B$34,2,FALSE()),0)</f>
        <v>2</v>
      </c>
      <c r="D14" s="10">
        <v>0.15</v>
      </c>
      <c r="E14" s="11">
        <f t="shared" si="0"/>
        <v>0.3</v>
      </c>
    </row>
    <row r="15" spans="1:5" ht="21.75" customHeight="1" x14ac:dyDescent="0.2">
      <c r="A15" s="8" t="s">
        <v>17</v>
      </c>
      <c r="B15" s="4" t="s">
        <v>145</v>
      </c>
      <c r="C15" s="9">
        <f>IFERROR(VLOOKUP(B15,'Score Reference'!$A$136:$B$143,2,FALSE()),"")</f>
        <v>2</v>
      </c>
      <c r="D15" s="10">
        <v>0.1</v>
      </c>
      <c r="E15" s="11">
        <f t="shared" si="0"/>
        <v>0.2</v>
      </c>
    </row>
    <row r="16" spans="1:5" ht="16" customHeight="1" x14ac:dyDescent="0.2">
      <c r="A16" s="8" t="s">
        <v>18</v>
      </c>
      <c r="B16" s="4" t="s">
        <v>155</v>
      </c>
      <c r="C16" s="9">
        <f>IFERROR(VLOOKUP(B16,'Score Reference'!$A$147:$B$155,2,FALSE()),"")</f>
        <v>1</v>
      </c>
      <c r="D16" s="10">
        <v>0.1</v>
      </c>
      <c r="E16" s="11">
        <f t="shared" si="0"/>
        <v>0.1</v>
      </c>
    </row>
    <row r="17" spans="1:5" ht="21.75" customHeight="1" x14ac:dyDescent="0.2">
      <c r="A17" s="12" t="s">
        <v>19</v>
      </c>
      <c r="B17" s="40" t="s">
        <v>20</v>
      </c>
      <c r="C17" s="40"/>
      <c r="D17" s="13">
        <v>0.3</v>
      </c>
      <c r="E17" s="14">
        <f>IFERROR(SUMPRODUCT(C11:C16,D11:D16),0)</f>
        <v>1.6500000000000001</v>
      </c>
    </row>
    <row r="18" spans="1:5" ht="19.5" customHeight="1" x14ac:dyDescent="0.2"/>
    <row r="19" spans="1:5" ht="19.5" customHeight="1" x14ac:dyDescent="0.2">
      <c r="A19" s="43" t="s">
        <v>21</v>
      </c>
      <c r="B19" s="43"/>
      <c r="C19" s="43"/>
      <c r="D19" s="43"/>
      <c r="E19" s="43"/>
    </row>
    <row r="20" spans="1:5" ht="19.5" customHeight="1" x14ac:dyDescent="0.2">
      <c r="A20" s="3" t="s">
        <v>22</v>
      </c>
      <c r="B20" s="4" t="s">
        <v>76</v>
      </c>
      <c r="C20" s="5">
        <f>IFERROR(VLOOKUP(B20,'Score Reference'!$A$40:$B$43,2,FALSE()),0)</f>
        <v>1</v>
      </c>
      <c r="D20" s="6">
        <v>0.35</v>
      </c>
      <c r="E20" s="7">
        <f>IF(ISNUMBER(C20),C20*D20,0)</f>
        <v>0.35</v>
      </c>
    </row>
    <row r="21" spans="1:5" ht="21.75" customHeight="1" x14ac:dyDescent="0.2">
      <c r="A21" s="8" t="s">
        <v>23</v>
      </c>
      <c r="B21" s="4"/>
      <c r="C21" s="9">
        <f>IFERROR(VLOOKUP(B21,'Score Reference'!$A$48:$B$51,2,FALSE()),0)</f>
        <v>0</v>
      </c>
      <c r="D21" s="10">
        <v>0.35</v>
      </c>
      <c r="E21" s="11">
        <f>IF(ISNUMBER(C21),C21*D21,0)</f>
        <v>0</v>
      </c>
    </row>
    <row r="22" spans="1:5" ht="18" customHeight="1" x14ac:dyDescent="0.2">
      <c r="A22" s="3" t="s">
        <v>24</v>
      </c>
      <c r="B22" s="4"/>
      <c r="C22" s="5">
        <f>IFERROR(VLOOKUP(B22,'Score Reference'!$A$56:$B$59,2,FALSE()),0)</f>
        <v>0</v>
      </c>
      <c r="D22" s="6">
        <v>0.3</v>
      </c>
      <c r="E22" s="7">
        <f>IF(ISNUMBER(C22),C22*D22,0)</f>
        <v>0</v>
      </c>
    </row>
    <row r="23" spans="1:5" ht="21.75" customHeight="1" x14ac:dyDescent="0.2">
      <c r="A23" s="12" t="s">
        <v>25</v>
      </c>
      <c r="B23" s="40" t="s">
        <v>20</v>
      </c>
      <c r="C23" s="40"/>
      <c r="D23" s="13">
        <v>0.25</v>
      </c>
      <c r="E23" s="14">
        <f>IFERROR(SUMPRODUCT(C20:C22,D20:D22),0)</f>
        <v>0.35</v>
      </c>
    </row>
    <row r="24" spans="1:5" ht="19.5" customHeight="1" x14ac:dyDescent="0.2"/>
    <row r="25" spans="1:5" ht="19.5" customHeight="1" x14ac:dyDescent="0.2">
      <c r="A25" s="43" t="s">
        <v>26</v>
      </c>
      <c r="B25" s="43"/>
      <c r="C25" s="43"/>
      <c r="D25" s="43"/>
      <c r="E25" s="43"/>
    </row>
    <row r="26" spans="1:5" ht="19.5" customHeight="1" x14ac:dyDescent="0.2">
      <c r="A26" s="3" t="s">
        <v>27</v>
      </c>
      <c r="B26" s="4"/>
      <c r="C26" s="5">
        <f>IFERROR(VLOOKUP(B26,'Score Reference'!$A$65:$B$68,2,FALSE()),0)</f>
        <v>0</v>
      </c>
      <c r="D26" s="6">
        <v>0.4</v>
      </c>
      <c r="E26" s="7">
        <f>IF(ISNUMBER(C26),C26*D26,0)</f>
        <v>0</v>
      </c>
    </row>
    <row r="27" spans="1:5" ht="21.75" customHeight="1" x14ac:dyDescent="0.2">
      <c r="A27" s="8" t="s">
        <v>28</v>
      </c>
      <c r="B27" s="4"/>
      <c r="C27" s="9">
        <f>IFERROR(VLOOKUP(B27,'Score Reference'!$A$73:$B$76,2,FALSE()),0)</f>
        <v>0</v>
      </c>
      <c r="D27" s="10">
        <v>0.35</v>
      </c>
      <c r="E27" s="11">
        <f>IF(ISNUMBER(C27),C27*D27,0)</f>
        <v>0</v>
      </c>
    </row>
    <row r="28" spans="1:5" ht="22" customHeight="1" x14ac:dyDescent="0.2">
      <c r="A28" s="3" t="s">
        <v>29</v>
      </c>
      <c r="B28" s="4"/>
      <c r="C28" s="5">
        <f>IFERROR(VLOOKUP(B28,'Score Reference'!$A$81:$B$84,2,FALSE()),0)</f>
        <v>0</v>
      </c>
      <c r="D28" s="6">
        <v>0.25</v>
      </c>
      <c r="E28" s="7">
        <f>IF(ISNUMBER(C28),C28*D28,0)</f>
        <v>0</v>
      </c>
    </row>
    <row r="29" spans="1:5" ht="21.75" customHeight="1" x14ac:dyDescent="0.2">
      <c r="A29" s="12" t="s">
        <v>30</v>
      </c>
      <c r="B29" s="40" t="s">
        <v>20</v>
      </c>
      <c r="C29" s="40"/>
      <c r="D29" s="13">
        <v>0.2</v>
      </c>
      <c r="E29" s="14">
        <f>IFERROR(SUMPRODUCT(C26:C28,D26:D28),0)</f>
        <v>0</v>
      </c>
    </row>
    <row r="30" spans="1:5" ht="19.5" customHeight="1" x14ac:dyDescent="0.2"/>
    <row r="31" spans="1:5" ht="21.75" customHeight="1" x14ac:dyDescent="0.2">
      <c r="A31" s="43" t="s">
        <v>31</v>
      </c>
      <c r="B31" s="43"/>
      <c r="C31" s="43"/>
      <c r="D31" s="43"/>
      <c r="E31" s="43"/>
    </row>
    <row r="32" spans="1:5" ht="21" customHeight="1" x14ac:dyDescent="0.2">
      <c r="A32" s="3" t="s">
        <v>32</v>
      </c>
      <c r="B32" s="4"/>
      <c r="C32" s="5">
        <f>IFERROR(VLOOKUP(B32,'Score Reference'!$A$90:$B$114,2,FALSE()),0)</f>
        <v>0</v>
      </c>
      <c r="D32" s="6">
        <v>1</v>
      </c>
      <c r="E32" s="7">
        <f>IF(ISNUMBER(C32),C32*D32,0)</f>
        <v>0</v>
      </c>
    </row>
    <row r="33" spans="1:5" ht="21.75" customHeight="1" x14ac:dyDescent="0.2">
      <c r="A33" s="12" t="s">
        <v>33</v>
      </c>
      <c r="B33" s="40" t="s">
        <v>20</v>
      </c>
      <c r="C33" s="40"/>
      <c r="D33" s="13">
        <v>0.15</v>
      </c>
      <c r="E33" s="14">
        <f>IFERROR(SUMPRODUCT(C32,D32),0)</f>
        <v>0</v>
      </c>
    </row>
    <row r="34" spans="1:5" ht="19.5" customHeight="1" x14ac:dyDescent="0.2"/>
    <row r="35" spans="1:5" ht="19.5" customHeight="1" x14ac:dyDescent="0.2">
      <c r="A35" s="43" t="s">
        <v>34</v>
      </c>
      <c r="B35" s="43"/>
      <c r="C35" s="43"/>
      <c r="D35" s="43"/>
      <c r="E35" s="43"/>
    </row>
    <row r="36" spans="1:5" ht="21.75" customHeight="1" x14ac:dyDescent="0.2">
      <c r="A36" s="3" t="s">
        <v>35</v>
      </c>
      <c r="B36" s="4"/>
      <c r="C36" s="5">
        <f>IFERROR(VLOOKUP(B36,'Score Reference'!$A$120:$B$123,2,FALSE()),0)</f>
        <v>0</v>
      </c>
      <c r="D36" s="6">
        <v>0.5</v>
      </c>
      <c r="E36" s="7">
        <f>IF(ISNUMBER(C36),C36*D36,0)</f>
        <v>0</v>
      </c>
    </row>
    <row r="37" spans="1:5" ht="12" customHeight="1" x14ac:dyDescent="0.2">
      <c r="A37" s="8" t="s">
        <v>36</v>
      </c>
      <c r="B37" s="4"/>
      <c r="C37" s="9">
        <f>IFERROR(VLOOKUP(B37,'Score Reference'!$A$128:$B$131,2,FALSE()),0)</f>
        <v>0</v>
      </c>
      <c r="D37" s="10">
        <v>0.5</v>
      </c>
      <c r="E37" s="11">
        <f>IF(ISNUMBER(C37),C37*D37,0)</f>
        <v>0</v>
      </c>
    </row>
    <row r="38" spans="1:5" ht="21.75" customHeight="1" x14ac:dyDescent="0.2">
      <c r="A38" s="12" t="s">
        <v>37</v>
      </c>
      <c r="B38" s="40" t="s">
        <v>20</v>
      </c>
      <c r="C38" s="40"/>
      <c r="D38" s="13">
        <v>0.1</v>
      </c>
      <c r="E38" s="14">
        <f>IFERROR(SUMPRODUCT(C36:C37,D36:D37),0)</f>
        <v>0</v>
      </c>
    </row>
    <row r="39" spans="1:5" ht="19.5" customHeight="1" x14ac:dyDescent="0.2"/>
    <row r="40" spans="1:5" ht="19.5" customHeight="1" x14ac:dyDescent="0.2">
      <c r="A40" s="15"/>
      <c r="B40" s="16"/>
      <c r="C40" s="16"/>
      <c r="D40" s="16"/>
      <c r="E40" s="16"/>
    </row>
    <row r="41" spans="1:5" ht="21.75" customHeight="1" x14ac:dyDescent="0.2">
      <c r="A41" s="15"/>
      <c r="B41" s="15"/>
      <c r="C41" s="16"/>
      <c r="D41" s="16"/>
      <c r="E41" s="17"/>
    </row>
    <row r="42" spans="1:5" ht="12" customHeight="1" x14ac:dyDescent="0.2">
      <c r="A42" s="15"/>
      <c r="B42" s="15"/>
      <c r="C42" s="16"/>
      <c r="D42" s="16"/>
      <c r="E42" s="17"/>
    </row>
    <row r="43" spans="1:5" ht="7.5" customHeight="1" x14ac:dyDescent="0.2">
      <c r="A43" s="15"/>
      <c r="B43" s="18"/>
      <c r="C43" s="16"/>
      <c r="D43" s="16"/>
      <c r="E43" s="16"/>
    </row>
    <row r="44" spans="1:5" ht="21.75" customHeight="1" x14ac:dyDescent="0.2">
      <c r="A44" s="16"/>
      <c r="B44" s="16"/>
      <c r="C44" s="16"/>
      <c r="D44" s="16"/>
      <c r="E44" s="16"/>
    </row>
    <row r="45" spans="1:5" ht="30" customHeight="1" x14ac:dyDescent="0.2">
      <c r="A45" s="16"/>
      <c r="B45" s="16"/>
      <c r="C45" s="16"/>
      <c r="D45" s="16"/>
      <c r="E45" s="16"/>
    </row>
    <row r="46" spans="1:5" ht="30" customHeight="1" x14ac:dyDescent="0.2">
      <c r="A46" s="41" t="s">
        <v>38</v>
      </c>
      <c r="B46" s="41"/>
      <c r="C46" s="41"/>
      <c r="D46" s="41"/>
      <c r="E46" s="41"/>
    </row>
    <row r="47" spans="1:5" ht="27.75" customHeight="1" x14ac:dyDescent="0.2">
      <c r="A47" s="1" t="s">
        <v>39</v>
      </c>
      <c r="B47" s="42" t="s">
        <v>40</v>
      </c>
      <c r="C47" s="42"/>
      <c r="D47" s="42"/>
      <c r="E47" s="19">
        <f>IFERROR(ROUND((E17+E23+E29+E33+E38)/4*100,1),0)</f>
        <v>50</v>
      </c>
    </row>
    <row r="48" spans="1:5" ht="27.75" customHeight="1" x14ac:dyDescent="0.2">
      <c r="A48" s="1" t="s">
        <v>41</v>
      </c>
      <c r="B48" s="42" t="s">
        <v>42</v>
      </c>
      <c r="C48" s="42"/>
      <c r="D48" s="42"/>
      <c r="E48" s="20" t="str">
        <f>IF(E47&gt;=70,"HIGH RISK",IF(E47&gt;=40,"MEDIUM RISK",IF(E47&gt;0,"LOW RISK","Awaiting Input")))</f>
        <v>MEDIUM RISK</v>
      </c>
    </row>
    <row r="49" spans="1:5" ht="7.5" customHeight="1" x14ac:dyDescent="0.2">
      <c r="A49" s="1" t="s">
        <v>43</v>
      </c>
      <c r="B49" s="38" t="str">
        <f>IF(E47&gt;=70,"Enhanced Due Diligence (EDD) — Senior Compliance Review Required",IF(E47&gt;=40,"Customer Due Diligence (CDD) — Standard Onboarding",IF(E47&gt;0,"Simplified Due Diligence (SDD) — Fast-Track Eligible","")))</f>
        <v>Customer Due Diligence (CDD) — Standard Onboarding</v>
      </c>
      <c r="C49" s="38"/>
      <c r="D49" s="38"/>
      <c r="E49" s="38"/>
    </row>
    <row r="50" spans="1:5" ht="13.5" customHeight="1" x14ac:dyDescent="0.2">
      <c r="A50" s="1" t="s">
        <v>44</v>
      </c>
      <c r="B50" s="38" t="str">
        <f>IF(OR(COUNTIF(C11:C16,4)&gt;0,COUNTIF(C20:C22,4)&gt;0,COUNTIF(C26:C28,4)&gt;0,COUNTIF(C32,4)&gt;0,E47&gt;=85),"⚠️ MANDATORY COMPLIANCE OFFICER APPROVAL REQUIRED","")</f>
        <v/>
      </c>
      <c r="C50" s="38"/>
      <c r="D50" s="38"/>
      <c r="E50" s="38"/>
    </row>
    <row r="52" spans="1:5" ht="15" customHeight="1" x14ac:dyDescent="0.2">
      <c r="A52" s="39" t="s">
        <v>45</v>
      </c>
      <c r="B52" s="39"/>
      <c r="C52" s="39"/>
      <c r="D52" s="39"/>
      <c r="E52" s="39"/>
    </row>
  </sheetData>
  <mergeCells count="22">
    <mergeCell ref="A1:E1"/>
    <mergeCell ref="A2:E2"/>
    <mergeCell ref="B4:E4"/>
    <mergeCell ref="B5:E5"/>
    <mergeCell ref="B6:E6"/>
    <mergeCell ref="B7:E7"/>
    <mergeCell ref="A10:E10"/>
    <mergeCell ref="B17:C17"/>
    <mergeCell ref="A19:E19"/>
    <mergeCell ref="B23:C23"/>
    <mergeCell ref="A25:E25"/>
    <mergeCell ref="B29:C29"/>
    <mergeCell ref="A31:E31"/>
    <mergeCell ref="B33:C33"/>
    <mergeCell ref="A35:E35"/>
    <mergeCell ref="B50:E50"/>
    <mergeCell ref="A52:E52"/>
    <mergeCell ref="B38:C38"/>
    <mergeCell ref="A46:E46"/>
    <mergeCell ref="B47:D47"/>
    <mergeCell ref="B48:D48"/>
    <mergeCell ref="B49:E49"/>
  </mergeCells>
  <conditionalFormatting sqref="B42">
    <cfRule type="expression" dxfId="40" priority="62">
      <formula>NOT(ISERROR(SEARCH("No Compliance",B42)))</formula>
    </cfRule>
    <cfRule type="expression" dxfId="39" priority="61">
      <formula>NOT(ISERROR(SEARCH("REQUIRED",B42)))</formula>
    </cfRule>
  </conditionalFormatting>
  <conditionalFormatting sqref="B48">
    <cfRule type="expression" dxfId="38" priority="78">
      <formula>NOT(ISERROR(SEARCH("No Compliance",B48)))</formula>
    </cfRule>
    <cfRule type="expression" dxfId="37" priority="77">
      <formula>NOT(ISERROR(SEARCH("REQUIRED",B48)))</formula>
    </cfRule>
  </conditionalFormatting>
  <conditionalFormatting sqref="C11:C14">
    <cfRule type="cellIs" dxfId="36" priority="2" operator="equal">
      <formula>1</formula>
    </cfRule>
    <cfRule type="cellIs" dxfId="35" priority="4" operator="equal">
      <formula>3</formula>
    </cfRule>
    <cfRule type="cellIs" dxfId="34" priority="3" operator="equal">
      <formula>2</formula>
    </cfRule>
    <cfRule type="cellIs" dxfId="33" priority="5" operator="equal">
      <formula>4</formula>
    </cfRule>
  </conditionalFormatting>
  <conditionalFormatting sqref="C18:C20">
    <cfRule type="cellIs" dxfId="32" priority="20" operator="equal">
      <formula>3</formula>
    </cfRule>
    <cfRule type="cellIs" dxfId="31" priority="21" operator="equal">
      <formula>4</formula>
    </cfRule>
    <cfRule type="cellIs" dxfId="30" priority="18" operator="equal">
      <formula>1</formula>
    </cfRule>
    <cfRule type="cellIs" dxfId="29" priority="19" operator="equal">
      <formula>2</formula>
    </cfRule>
  </conditionalFormatting>
  <conditionalFormatting sqref="C24:C26">
    <cfRule type="cellIs" dxfId="28" priority="30" operator="equal">
      <formula>1</formula>
    </cfRule>
    <cfRule type="cellIs" dxfId="27" priority="31" operator="equal">
      <formula>2</formula>
    </cfRule>
    <cfRule type="cellIs" dxfId="26" priority="32" operator="equal">
      <formula>3</formula>
    </cfRule>
    <cfRule type="cellIs" dxfId="25" priority="33" operator="equal">
      <formula>4</formula>
    </cfRule>
  </conditionalFormatting>
  <conditionalFormatting sqref="C30">
    <cfRule type="cellIs" dxfId="24" priority="42" operator="equal">
      <formula>1</formula>
    </cfRule>
    <cfRule type="cellIs" dxfId="23" priority="43" operator="equal">
      <formula>2</formula>
    </cfRule>
    <cfRule type="cellIs" dxfId="22" priority="44" operator="equal">
      <formula>3</formula>
    </cfRule>
    <cfRule type="cellIs" dxfId="21" priority="45" operator="equal">
      <formula>4</formula>
    </cfRule>
  </conditionalFormatting>
  <conditionalFormatting sqref="C34:C35">
    <cfRule type="cellIs" dxfId="20" priority="46" operator="equal">
      <formula>1</formula>
    </cfRule>
    <cfRule type="cellIs" dxfId="19" priority="47" operator="equal">
      <formula>2</formula>
    </cfRule>
    <cfRule type="cellIs" dxfId="18" priority="48" operator="equal">
      <formula>3</formula>
    </cfRule>
    <cfRule type="cellIs" dxfId="17" priority="49" operator="equal">
      <formula>4</formula>
    </cfRule>
  </conditionalFormatting>
  <conditionalFormatting sqref="C39:C40">
    <cfRule type="cellIs" dxfId="16" priority="66" operator="equal">
      <formula>4</formula>
    </cfRule>
    <cfRule type="cellIs" dxfId="15" priority="65" operator="equal">
      <formula>3</formula>
    </cfRule>
    <cfRule type="cellIs" dxfId="14" priority="64" operator="equal">
      <formula>2</formula>
    </cfRule>
    <cfRule type="cellIs" dxfId="13" priority="63" operator="equal">
      <formula>1</formula>
    </cfRule>
  </conditionalFormatting>
  <conditionalFormatting sqref="E39">
    <cfRule type="cellIs" dxfId="12" priority="57" operator="equal">
      <formula>0</formula>
    </cfRule>
    <cfRule type="cellIs" dxfId="11" priority="56" operator="lessThan">
      <formula>40</formula>
    </cfRule>
    <cfRule type="cellIs" dxfId="10" priority="55" operator="between">
      <formula>40</formula>
      <formula>69.9</formula>
    </cfRule>
    <cfRule type="cellIs" dxfId="9" priority="54" operator="greaterThanOrEqual">
      <formula>70</formula>
    </cfRule>
  </conditionalFormatting>
  <conditionalFormatting sqref="E40">
    <cfRule type="cellIs" dxfId="8" priority="60" operator="equal">
      <formula>"LOW RISK"</formula>
    </cfRule>
    <cfRule type="cellIs" dxfId="7" priority="59" operator="equal">
      <formula>"MEDIUM RISK"</formula>
    </cfRule>
    <cfRule type="cellIs" dxfId="6" priority="58" operator="equal">
      <formula>"HIGH RISK"</formula>
    </cfRule>
  </conditionalFormatting>
  <conditionalFormatting sqref="E45">
    <cfRule type="cellIs" dxfId="5" priority="71" operator="greaterThanOrEqual">
      <formula>70</formula>
    </cfRule>
    <cfRule type="cellIs" dxfId="4" priority="72" operator="between">
      <formula>40</formula>
      <formula>69.9</formula>
    </cfRule>
    <cfRule type="cellIs" dxfId="3" priority="73" operator="lessThan">
      <formula>40</formula>
    </cfRule>
  </conditionalFormatting>
  <conditionalFormatting sqref="E46">
    <cfRule type="cellIs" dxfId="2" priority="74" operator="equal">
      <formula>"HIGH RISK"</formula>
    </cfRule>
    <cfRule type="cellIs" dxfId="1" priority="75" operator="equal">
      <formula>"MEDIUM RISK"</formula>
    </cfRule>
    <cfRule type="cellIs" dxfId="0" priority="76" operator="equal">
      <formula>"LOW RISK"</formula>
    </cfRule>
  </conditionalFormatting>
  <pageMargins left="0.75" right="0.75" top="1" bottom="1" header="0.511811023622047" footer="0.511811023622047"/>
  <pageSetup paperSize="9" orientation="portrait" horizontalDpi="300" verticalDpi="300"/>
  <extLst>
    <ext xmlns:x14="http://schemas.microsoft.com/office/spreadsheetml/2009/9/main" uri="{CCE6A557-97BC-4b89-ADB6-D9C93CAAB3DF}">
      <x14:dataValidations xmlns:xm="http://schemas.microsoft.com/office/excel/2006/main" count="24">
        <x14:dataValidation type="list" allowBlank="1" xr:uid="{00000000-0002-0000-0000-000000000000}">
          <x14:formula1>
            <xm:f>'Score Reference'!$A$3:$A$11</xm:f>
          </x14:formula1>
          <x14:formula2>
            <xm:f>0</xm:f>
          </x14:formula2>
          <xm:sqref>B11</xm:sqref>
        </x14:dataValidation>
        <x14:dataValidation type="list" allowBlank="1" xr:uid="{00000000-0002-0000-0000-000001000000}">
          <x14:formula1>
            <xm:f>'Score Reference'!$A$16:$A$19</xm:f>
          </x14:formula1>
          <x14:formula2>
            <xm:f>0</xm:f>
          </x14:formula2>
          <xm:sqref>B12</xm:sqref>
        </x14:dataValidation>
        <x14:dataValidation type="list" allowBlank="1" xr:uid="{00000000-0002-0000-0000-000002000000}">
          <x14:formula1>
            <xm:f>'Score Reference'!$A$24:$A$27</xm:f>
          </x14:formula1>
          <x14:formula2>
            <xm:f>0</xm:f>
          </x14:formula2>
          <xm:sqref>B13</xm:sqref>
        </x14:dataValidation>
        <x14:dataValidation type="list" allowBlank="1" xr:uid="{00000000-0002-0000-0000-000003000000}">
          <x14:formula1>
            <xm:f>'Score Reference'!$A$32:$A$34</xm:f>
          </x14:formula1>
          <x14:formula2>
            <xm:f>0</xm:f>
          </x14:formula2>
          <xm:sqref>B14</xm:sqref>
        </x14:dataValidation>
        <x14:dataValidation type="list" allowBlank="1" xr:uid="{00000000-0002-0000-0000-000004000000}">
          <x14:formula1>
            <xm:f>'Score Reference'!$A$40:$A$43</xm:f>
          </x14:formula1>
          <x14:formula2>
            <xm:f>0</xm:f>
          </x14:formula2>
          <xm:sqref>B18</xm:sqref>
        </x14:dataValidation>
        <x14:dataValidation type="list" allowBlank="1" xr:uid="{00000000-0002-0000-0000-000005000000}">
          <x14:formula1>
            <xm:f>'Score Reference'!$A$48:$A$51</xm:f>
          </x14:formula1>
          <x14:formula2>
            <xm:f>0</xm:f>
          </x14:formula2>
          <xm:sqref>B19</xm:sqref>
        </x14:dataValidation>
        <x14:dataValidation type="list" allowBlank="1" xr:uid="{00000000-0002-0000-0000-000007000000}">
          <x14:formula1>
            <xm:f>'Score Reference'!$A$65:$A$68</xm:f>
          </x14:formula1>
          <x14:formula2>
            <xm:f>0</xm:f>
          </x14:formula2>
          <xm:sqref>B24</xm:sqref>
        </x14:dataValidation>
        <x14:dataValidation type="list" allowBlank="1" xr:uid="{00000000-0002-0000-0000-000008000000}">
          <x14:formula1>
            <xm:f>'Score Reference'!$A$73:$A$76</xm:f>
          </x14:formula1>
          <x14:formula2>
            <xm:f>0</xm:f>
          </x14:formula2>
          <xm:sqref>B25</xm:sqref>
        </x14:dataValidation>
        <x14:dataValidation type="list" allowBlank="1" xr:uid="{00000000-0002-0000-0000-00000A000000}">
          <x14:formula1>
            <xm:f>'Score Reference'!$A$90:$A$114</xm:f>
          </x14:formula1>
          <x14:formula2>
            <xm:f>0</xm:f>
          </x14:formula2>
          <xm:sqref>B30</xm:sqref>
        </x14:dataValidation>
        <x14:dataValidation type="list" allowBlank="1" xr:uid="{00000000-0002-0000-0000-00000B000000}">
          <x14:formula1>
            <xm:f>'Score Reference'!$A$120:$A$123</xm:f>
          </x14:formula1>
          <x14:formula2>
            <xm:f>0</xm:f>
          </x14:formula2>
          <xm:sqref>B34</xm:sqref>
        </x14:dataValidation>
        <x14:dataValidation type="list" allowBlank="1" xr:uid="{00000000-0002-0000-0000-00000C000000}">
          <x14:formula1>
            <xm:f>'Score Reference'!$A$128:$A$131</xm:f>
          </x14:formula1>
          <x14:formula2>
            <xm:f>0</xm:f>
          </x14:formula2>
          <xm:sqref>B35</xm:sqref>
        </x14:dataValidation>
        <x14:dataValidation type="list" allowBlank="1" xr:uid="{00000000-0002-0000-0000-00000D000000}">
          <x14:formula1>
            <xm:f>'Score Reference'!$A$136:$A$143</xm:f>
          </x14:formula1>
          <x14:formula2>
            <xm:f>0</xm:f>
          </x14:formula2>
          <xm:sqref>B39</xm:sqref>
        </x14:dataValidation>
        <x14:dataValidation type="list" allowBlank="1" xr:uid="{00000000-0002-0000-0000-00000E000000}">
          <x14:formula1>
            <xm:f>'Score Reference'!$A$147:$A$154</xm:f>
          </x14:formula1>
          <x14:formula2>
            <xm:f>0</xm:f>
          </x14:formula2>
          <xm:sqref>B40</xm:sqref>
        </x14:dataValidation>
        <x14:dataValidation type="list" allowBlank="1" showInputMessage="1" showErrorMessage="1" xr:uid="{15AFD49C-F5D5-5B4C-A04F-2D54D4CE13B1}">
          <x14:formula1>
            <xm:f>'Score Reference'!$A$40:$A$43</xm:f>
          </x14:formula1>
          <xm:sqref>B20</xm:sqref>
        </x14:dataValidation>
        <x14:dataValidation type="list" allowBlank="1" showInputMessage="1" showErrorMessage="1" xr:uid="{2C401F91-81F0-FE46-92DD-FA2CFB4EC722}">
          <x14:formula1>
            <xm:f>'Score Reference'!$A$48:$A$51</xm:f>
          </x14:formula1>
          <xm:sqref>B21</xm:sqref>
        </x14:dataValidation>
        <x14:dataValidation type="list" allowBlank="1" showInputMessage="1" showErrorMessage="1" xr:uid="{C6FCC6DA-4B8A-7142-B458-53491EE1B30D}">
          <x14:formula1>
            <xm:f>'Score Reference'!$A$56:$A$59</xm:f>
          </x14:formula1>
          <xm:sqref>B22</xm:sqref>
        </x14:dataValidation>
        <x14:dataValidation type="list" allowBlank="1" showInputMessage="1" showErrorMessage="1" xr:uid="{817B08A4-AEA1-9B46-8E4A-EEECA0B7CEF3}">
          <x14:formula1>
            <xm:f>'Score Reference'!$A$65:$A$68</xm:f>
          </x14:formula1>
          <xm:sqref>B26</xm:sqref>
        </x14:dataValidation>
        <x14:dataValidation type="list" allowBlank="1" showInputMessage="1" showErrorMessage="1" xr:uid="{CB49F4B9-0F3F-D043-AC86-32E36FA7A94D}">
          <x14:formula1>
            <xm:f>'Score Reference'!$A$73:$A$76</xm:f>
          </x14:formula1>
          <xm:sqref>B27</xm:sqref>
        </x14:dataValidation>
        <x14:dataValidation type="list" allowBlank="1" showInputMessage="1" showErrorMessage="1" xr:uid="{2C5B209D-EBD4-6541-AF80-CE38A552F8BB}">
          <x14:formula1>
            <xm:f>'Score Reference'!$A$81:$A$84</xm:f>
          </x14:formula1>
          <xm:sqref>B28</xm:sqref>
        </x14:dataValidation>
        <x14:dataValidation type="list" allowBlank="1" showInputMessage="1" showErrorMessage="1" xr:uid="{C9900771-D26E-8A46-8BA5-1A0975C14400}">
          <x14:formula1>
            <xm:f>'Score Reference'!$A$90:$A$115</xm:f>
          </x14:formula1>
          <xm:sqref>B32</xm:sqref>
        </x14:dataValidation>
        <x14:dataValidation type="list" allowBlank="1" showInputMessage="1" showErrorMessage="1" xr:uid="{F07FFDEA-9083-D447-BDA6-62160F58CED6}">
          <x14:formula1>
            <xm:f>'Score Reference'!$A$120:$A$123</xm:f>
          </x14:formula1>
          <xm:sqref>B36</xm:sqref>
        </x14:dataValidation>
        <x14:dataValidation type="list" allowBlank="1" showInputMessage="1" showErrorMessage="1" xr:uid="{1882F4D7-619E-1248-9679-370314EF2B28}">
          <x14:formula1>
            <xm:f>'Score Reference'!$A$128:$A$131</xm:f>
          </x14:formula1>
          <xm:sqref>B37</xm:sqref>
        </x14:dataValidation>
        <x14:dataValidation type="list" allowBlank="1" showInputMessage="1" showErrorMessage="1" xr:uid="{DEF0B10D-0D0C-7341-8E5C-8D7F6F68F2A4}">
          <x14:formula1>
            <xm:f>'Score Reference'!$A$136:$A$143</xm:f>
          </x14:formula1>
          <xm:sqref>B15</xm:sqref>
        </x14:dataValidation>
        <x14:dataValidation type="list" allowBlank="1" showInputMessage="1" showErrorMessage="1" xr:uid="{1E946BEE-E1E4-B24B-A554-63314EF5D2A5}">
          <x14:formula1>
            <xm:f>'Score Reference'!$A$147:$A$155</xm:f>
          </x14:formula1>
          <xm:sqref>B16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155"/>
  <sheetViews>
    <sheetView showGridLines="0" tabSelected="1" topLeftCell="A65" zoomScaleNormal="100" workbookViewId="0">
      <selection activeCell="A83" sqref="A83"/>
    </sheetView>
  </sheetViews>
  <sheetFormatPr baseColWidth="10" defaultColWidth="8.6640625" defaultRowHeight="15" customHeight="1" x14ac:dyDescent="0.2"/>
  <cols>
    <col min="1" max="1" width="56" customWidth="1"/>
    <col min="2" max="2" width="14" customWidth="1"/>
    <col min="3" max="3" width="20" customWidth="1"/>
  </cols>
  <sheetData>
    <row r="1" spans="1:3" ht="27.75" customHeight="1" x14ac:dyDescent="0.2">
      <c r="A1" s="47" t="s">
        <v>46</v>
      </c>
      <c r="B1" s="47"/>
      <c r="C1" s="47"/>
    </row>
    <row r="2" spans="1:3" ht="21.75" customHeight="1" x14ac:dyDescent="0.2">
      <c r="A2" s="43" t="s">
        <v>47</v>
      </c>
      <c r="B2" s="43"/>
      <c r="C2" s="43"/>
    </row>
    <row r="3" spans="1:3" ht="18" customHeight="1" x14ac:dyDescent="0.2">
      <c r="A3" s="21" t="s">
        <v>48</v>
      </c>
      <c r="B3" s="22">
        <v>1</v>
      </c>
      <c r="C3" s="23" t="s">
        <v>49</v>
      </c>
    </row>
    <row r="4" spans="1:3" ht="18" customHeight="1" x14ac:dyDescent="0.2">
      <c r="A4" s="24" t="s">
        <v>50</v>
      </c>
      <c r="B4" s="22">
        <v>1</v>
      </c>
      <c r="C4" s="23" t="s">
        <v>49</v>
      </c>
    </row>
    <row r="5" spans="1:3" ht="18" customHeight="1" x14ac:dyDescent="0.2">
      <c r="A5" s="21" t="s">
        <v>51</v>
      </c>
      <c r="B5" s="22">
        <v>1</v>
      </c>
      <c r="C5" s="23" t="s">
        <v>49</v>
      </c>
    </row>
    <row r="6" spans="1:3" ht="18" customHeight="1" x14ac:dyDescent="0.2">
      <c r="A6" s="24" t="s">
        <v>52</v>
      </c>
      <c r="B6" s="25">
        <v>2</v>
      </c>
      <c r="C6" s="26" t="s">
        <v>53</v>
      </c>
    </row>
    <row r="7" spans="1:3" ht="18" customHeight="1" x14ac:dyDescent="0.2">
      <c r="A7" s="21" t="s">
        <v>54</v>
      </c>
      <c r="B7" s="25">
        <v>2</v>
      </c>
      <c r="C7" s="26" t="s">
        <v>53</v>
      </c>
    </row>
    <row r="8" spans="1:3" ht="18" customHeight="1" x14ac:dyDescent="0.2">
      <c r="A8" s="24" t="s">
        <v>55</v>
      </c>
      <c r="B8" s="27">
        <v>3</v>
      </c>
      <c r="C8" s="28" t="s">
        <v>56</v>
      </c>
    </row>
    <row r="9" spans="1:3" ht="18" customHeight="1" x14ac:dyDescent="0.2">
      <c r="A9" s="21" t="s">
        <v>57</v>
      </c>
      <c r="B9" s="27">
        <v>3</v>
      </c>
      <c r="C9" s="28" t="s">
        <v>56</v>
      </c>
    </row>
    <row r="10" spans="1:3" ht="18" customHeight="1" x14ac:dyDescent="0.2">
      <c r="A10" s="24" t="s">
        <v>58</v>
      </c>
      <c r="B10" s="27">
        <v>3</v>
      </c>
      <c r="C10" s="28" t="s">
        <v>56</v>
      </c>
    </row>
    <row r="11" spans="1:3" ht="18" customHeight="1" x14ac:dyDescent="0.2">
      <c r="A11" s="21" t="s">
        <v>59</v>
      </c>
      <c r="B11" s="29">
        <v>4</v>
      </c>
      <c r="C11" s="30" t="s">
        <v>60</v>
      </c>
    </row>
    <row r="15" spans="1:3" ht="21.75" customHeight="1" x14ac:dyDescent="0.2">
      <c r="A15" s="43" t="s">
        <v>61</v>
      </c>
      <c r="B15" s="43"/>
      <c r="C15" s="43"/>
    </row>
    <row r="16" spans="1:3" ht="18" customHeight="1" x14ac:dyDescent="0.2">
      <c r="A16" s="21" t="s">
        <v>62</v>
      </c>
      <c r="B16" s="22">
        <v>1</v>
      </c>
      <c r="C16" s="23" t="s">
        <v>49</v>
      </c>
    </row>
    <row r="17" spans="1:3" ht="18" customHeight="1" x14ac:dyDescent="0.2">
      <c r="A17" s="24" t="s">
        <v>63</v>
      </c>
      <c r="B17" s="25">
        <v>2</v>
      </c>
      <c r="C17" s="26" t="s">
        <v>53</v>
      </c>
    </row>
    <row r="18" spans="1:3" ht="18" customHeight="1" x14ac:dyDescent="0.2">
      <c r="A18" s="21" t="s">
        <v>64</v>
      </c>
      <c r="B18" s="27">
        <v>3</v>
      </c>
      <c r="C18" s="28" t="s">
        <v>56</v>
      </c>
    </row>
    <row r="19" spans="1:3" ht="18" customHeight="1" x14ac:dyDescent="0.2">
      <c r="A19" s="24" t="s">
        <v>65</v>
      </c>
      <c r="B19" s="29">
        <v>4</v>
      </c>
      <c r="C19" s="30" t="s">
        <v>60</v>
      </c>
    </row>
    <row r="23" spans="1:3" ht="21.75" customHeight="1" x14ac:dyDescent="0.2">
      <c r="A23" s="43" t="s">
        <v>66</v>
      </c>
      <c r="B23" s="43"/>
      <c r="C23" s="43"/>
    </row>
    <row r="24" spans="1:3" ht="18" customHeight="1" x14ac:dyDescent="0.2">
      <c r="A24" s="21" t="s">
        <v>67</v>
      </c>
      <c r="B24" s="22">
        <v>1</v>
      </c>
      <c r="C24" s="23" t="s">
        <v>49</v>
      </c>
    </row>
    <row r="25" spans="1:3" ht="18" customHeight="1" x14ac:dyDescent="0.2">
      <c r="A25" s="24" t="s">
        <v>68</v>
      </c>
      <c r="B25" s="27">
        <v>3</v>
      </c>
      <c r="C25" s="28" t="s">
        <v>56</v>
      </c>
    </row>
    <row r="26" spans="1:3" ht="18" customHeight="1" x14ac:dyDescent="0.2">
      <c r="A26" s="21" t="s">
        <v>69</v>
      </c>
      <c r="B26" s="27">
        <v>3</v>
      </c>
      <c r="C26" s="28" t="s">
        <v>56</v>
      </c>
    </row>
    <row r="27" spans="1:3" ht="18" customHeight="1" x14ac:dyDescent="0.2">
      <c r="A27" s="24" t="s">
        <v>70</v>
      </c>
      <c r="B27" s="29">
        <v>4</v>
      </c>
      <c r="C27" s="30" t="s">
        <v>60</v>
      </c>
    </row>
    <row r="31" spans="1:3" ht="21.75" customHeight="1" x14ac:dyDescent="0.2">
      <c r="A31" s="43" t="s">
        <v>71</v>
      </c>
      <c r="B31" s="43"/>
      <c r="C31" s="43"/>
    </row>
    <row r="32" spans="1:3" ht="18" customHeight="1" x14ac:dyDescent="0.2">
      <c r="A32" s="21" t="s">
        <v>72</v>
      </c>
      <c r="B32" s="22">
        <v>1</v>
      </c>
      <c r="C32" s="23" t="s">
        <v>49</v>
      </c>
    </row>
    <row r="33" spans="1:3" ht="18" customHeight="1" x14ac:dyDescent="0.2">
      <c r="A33" s="24" t="s">
        <v>73</v>
      </c>
      <c r="B33" s="25">
        <v>2</v>
      </c>
      <c r="C33" s="26" t="s">
        <v>53</v>
      </c>
    </row>
    <row r="34" spans="1:3" ht="18" customHeight="1" x14ac:dyDescent="0.2">
      <c r="A34" s="21" t="s">
        <v>74</v>
      </c>
      <c r="B34" s="29">
        <v>4</v>
      </c>
      <c r="C34" s="30" t="s">
        <v>60</v>
      </c>
    </row>
    <row r="39" spans="1:3" ht="21.75" customHeight="1" x14ac:dyDescent="0.2">
      <c r="A39" s="43" t="s">
        <v>75</v>
      </c>
      <c r="B39" s="43"/>
      <c r="C39" s="43"/>
    </row>
    <row r="40" spans="1:3" ht="18" customHeight="1" x14ac:dyDescent="0.2">
      <c r="A40" s="21" t="s">
        <v>76</v>
      </c>
      <c r="B40" s="22">
        <v>1</v>
      </c>
      <c r="C40" s="23" t="s">
        <v>49</v>
      </c>
    </row>
    <row r="41" spans="1:3" ht="18" customHeight="1" x14ac:dyDescent="0.2">
      <c r="A41" s="24" t="s">
        <v>77</v>
      </c>
      <c r="B41" s="25">
        <v>2</v>
      </c>
      <c r="C41" s="26" t="s">
        <v>53</v>
      </c>
    </row>
    <row r="42" spans="1:3" ht="18" customHeight="1" x14ac:dyDescent="0.2">
      <c r="A42" s="21" t="s">
        <v>78</v>
      </c>
      <c r="B42" s="27">
        <v>3</v>
      </c>
      <c r="C42" s="28" t="s">
        <v>56</v>
      </c>
    </row>
    <row r="43" spans="1:3" ht="18" customHeight="1" x14ac:dyDescent="0.2">
      <c r="A43" s="24" t="s">
        <v>79</v>
      </c>
      <c r="B43" s="29">
        <v>4</v>
      </c>
      <c r="C43" s="30" t="s">
        <v>60</v>
      </c>
    </row>
    <row r="47" spans="1:3" ht="21.75" customHeight="1" x14ac:dyDescent="0.2">
      <c r="A47" s="43" t="s">
        <v>80</v>
      </c>
      <c r="B47" s="43"/>
      <c r="C47" s="43"/>
    </row>
    <row r="48" spans="1:3" ht="18" customHeight="1" x14ac:dyDescent="0.2">
      <c r="A48" s="21" t="s">
        <v>81</v>
      </c>
      <c r="B48" s="22">
        <v>1</v>
      </c>
      <c r="C48" s="23" t="s">
        <v>49</v>
      </c>
    </row>
    <row r="49" spans="1:3" ht="18" customHeight="1" x14ac:dyDescent="0.2">
      <c r="A49" s="24" t="s">
        <v>82</v>
      </c>
      <c r="B49" s="25">
        <v>2</v>
      </c>
      <c r="C49" s="26" t="s">
        <v>53</v>
      </c>
    </row>
    <row r="50" spans="1:3" ht="18" customHeight="1" x14ac:dyDescent="0.2">
      <c r="A50" s="21" t="s">
        <v>83</v>
      </c>
      <c r="B50" s="27">
        <v>3</v>
      </c>
      <c r="C50" s="28" t="s">
        <v>56</v>
      </c>
    </row>
    <row r="51" spans="1:3" ht="18" customHeight="1" x14ac:dyDescent="0.2">
      <c r="A51" s="24" t="s">
        <v>84</v>
      </c>
      <c r="B51" s="29">
        <v>4</v>
      </c>
      <c r="C51" s="30" t="s">
        <v>60</v>
      </c>
    </row>
    <row r="55" spans="1:3" ht="21.75" customHeight="1" x14ac:dyDescent="0.2">
      <c r="A55" s="43" t="s">
        <v>85</v>
      </c>
      <c r="B55" s="43"/>
      <c r="C55" s="43"/>
    </row>
    <row r="56" spans="1:3" ht="18" customHeight="1" x14ac:dyDescent="0.2">
      <c r="A56" s="21" t="s">
        <v>86</v>
      </c>
      <c r="B56" s="22">
        <v>1</v>
      </c>
      <c r="C56" s="23" t="s">
        <v>49</v>
      </c>
    </row>
    <row r="57" spans="1:3" ht="18" customHeight="1" x14ac:dyDescent="0.2">
      <c r="A57" s="24" t="s">
        <v>87</v>
      </c>
      <c r="B57" s="25">
        <v>2</v>
      </c>
      <c r="C57" s="26" t="s">
        <v>53</v>
      </c>
    </row>
    <row r="58" spans="1:3" ht="18" customHeight="1" x14ac:dyDescent="0.2">
      <c r="A58" s="21" t="s">
        <v>88</v>
      </c>
      <c r="B58" s="27">
        <v>3</v>
      </c>
      <c r="C58" s="28" t="s">
        <v>56</v>
      </c>
    </row>
    <row r="59" spans="1:3" ht="18" customHeight="1" x14ac:dyDescent="0.2">
      <c r="A59" s="24" t="s">
        <v>89</v>
      </c>
      <c r="B59" s="29">
        <v>4</v>
      </c>
      <c r="C59" s="30" t="s">
        <v>60</v>
      </c>
    </row>
    <row r="64" spans="1:3" ht="21.75" customHeight="1" x14ac:dyDescent="0.2">
      <c r="A64" s="43" t="s">
        <v>90</v>
      </c>
      <c r="B64" s="43"/>
      <c r="C64" s="43"/>
    </row>
    <row r="65" spans="1:3" ht="18" customHeight="1" x14ac:dyDescent="0.2">
      <c r="A65" s="21" t="s">
        <v>91</v>
      </c>
      <c r="B65" s="22">
        <v>1</v>
      </c>
      <c r="C65" s="23" t="s">
        <v>49</v>
      </c>
    </row>
    <row r="66" spans="1:3" ht="18" customHeight="1" x14ac:dyDescent="0.2">
      <c r="A66" s="24" t="s">
        <v>92</v>
      </c>
      <c r="B66" s="25">
        <v>2</v>
      </c>
      <c r="C66" s="26" t="s">
        <v>53</v>
      </c>
    </row>
    <row r="67" spans="1:3" ht="18" customHeight="1" x14ac:dyDescent="0.2">
      <c r="A67" s="21" t="s">
        <v>93</v>
      </c>
      <c r="B67" s="27">
        <v>3</v>
      </c>
      <c r="C67" s="28" t="s">
        <v>56</v>
      </c>
    </row>
    <row r="68" spans="1:3" ht="18" customHeight="1" x14ac:dyDescent="0.2">
      <c r="A68" s="24" t="s">
        <v>94</v>
      </c>
      <c r="B68" s="29">
        <v>4</v>
      </c>
      <c r="C68" s="30" t="s">
        <v>60</v>
      </c>
    </row>
    <row r="72" spans="1:3" ht="21.75" customHeight="1" x14ac:dyDescent="0.2">
      <c r="A72" s="43" t="s">
        <v>95</v>
      </c>
      <c r="B72" s="43"/>
      <c r="C72" s="43"/>
    </row>
    <row r="73" spans="1:3" ht="18" customHeight="1" x14ac:dyDescent="0.2">
      <c r="A73" s="21" t="s">
        <v>96</v>
      </c>
      <c r="B73" s="22">
        <v>1</v>
      </c>
      <c r="C73" s="23" t="s">
        <v>49</v>
      </c>
    </row>
    <row r="74" spans="1:3" ht="18" customHeight="1" x14ac:dyDescent="0.2">
      <c r="A74" s="24" t="s">
        <v>97</v>
      </c>
      <c r="B74" s="25">
        <v>2</v>
      </c>
      <c r="C74" s="26" t="s">
        <v>53</v>
      </c>
    </row>
    <row r="75" spans="1:3" ht="18" customHeight="1" x14ac:dyDescent="0.2">
      <c r="A75" s="21" t="s">
        <v>98</v>
      </c>
      <c r="B75" s="27">
        <v>3</v>
      </c>
      <c r="C75" s="28" t="s">
        <v>56</v>
      </c>
    </row>
    <row r="76" spans="1:3" ht="18" customHeight="1" x14ac:dyDescent="0.2">
      <c r="A76" s="24" t="s">
        <v>99</v>
      </c>
      <c r="B76" s="29">
        <v>4</v>
      </c>
      <c r="C76" s="30" t="s">
        <v>60</v>
      </c>
    </row>
    <row r="80" spans="1:3" ht="21.75" customHeight="1" x14ac:dyDescent="0.2">
      <c r="A80" s="43" t="s">
        <v>100</v>
      </c>
      <c r="B80" s="43"/>
      <c r="C80" s="43"/>
    </row>
    <row r="81" spans="1:3" ht="18" customHeight="1" x14ac:dyDescent="0.2">
      <c r="A81" s="21" t="s">
        <v>101</v>
      </c>
      <c r="B81" s="22">
        <v>1</v>
      </c>
      <c r="C81" s="23" t="s">
        <v>49</v>
      </c>
    </row>
    <row r="82" spans="1:3" ht="18" customHeight="1" x14ac:dyDescent="0.2">
      <c r="A82" s="24" t="s">
        <v>102</v>
      </c>
      <c r="B82" s="25">
        <v>2</v>
      </c>
      <c r="C82" s="26" t="s">
        <v>53</v>
      </c>
    </row>
    <row r="83" spans="1:3" ht="18" customHeight="1" x14ac:dyDescent="0.2">
      <c r="A83" s="21" t="s">
        <v>103</v>
      </c>
      <c r="B83" s="27">
        <v>3</v>
      </c>
      <c r="C83" s="28" t="s">
        <v>56</v>
      </c>
    </row>
    <row r="84" spans="1:3" ht="18" customHeight="1" x14ac:dyDescent="0.2">
      <c r="A84" s="24" t="s">
        <v>104</v>
      </c>
      <c r="B84" s="29">
        <v>4</v>
      </c>
      <c r="C84" s="30" t="s">
        <v>60</v>
      </c>
    </row>
    <row r="89" spans="1:3" ht="21.75" customHeight="1" x14ac:dyDescent="0.2">
      <c r="A89" s="43" t="s">
        <v>105</v>
      </c>
      <c r="B89" s="43"/>
      <c r="C89" s="43"/>
    </row>
    <row r="90" spans="1:3" ht="18" customHeight="1" x14ac:dyDescent="0.2">
      <c r="A90" s="21" t="s">
        <v>106</v>
      </c>
      <c r="B90" s="22">
        <v>1</v>
      </c>
      <c r="C90" s="23" t="s">
        <v>49</v>
      </c>
    </row>
    <row r="91" spans="1:3" ht="18" customHeight="1" x14ac:dyDescent="0.2">
      <c r="A91" s="24" t="s">
        <v>107</v>
      </c>
      <c r="B91" s="22">
        <v>1</v>
      </c>
      <c r="C91" s="23" t="s">
        <v>49</v>
      </c>
    </row>
    <row r="92" spans="1:3" ht="18" customHeight="1" x14ac:dyDescent="0.2">
      <c r="A92" s="21" t="s">
        <v>108</v>
      </c>
      <c r="B92" s="22">
        <v>1</v>
      </c>
      <c r="C92" s="23" t="s">
        <v>49</v>
      </c>
    </row>
    <row r="93" spans="1:3" ht="18" customHeight="1" x14ac:dyDescent="0.2">
      <c r="A93" s="24" t="s">
        <v>109</v>
      </c>
      <c r="B93" s="25">
        <v>2</v>
      </c>
      <c r="C93" s="26" t="s">
        <v>53</v>
      </c>
    </row>
    <row r="94" spans="1:3" ht="18" customHeight="1" x14ac:dyDescent="0.2">
      <c r="A94" s="21" t="s">
        <v>110</v>
      </c>
      <c r="B94" s="25">
        <v>2</v>
      </c>
      <c r="C94" s="26" t="s">
        <v>53</v>
      </c>
    </row>
    <row r="95" spans="1:3" ht="18" customHeight="1" x14ac:dyDescent="0.2">
      <c r="A95" s="24" t="s">
        <v>111</v>
      </c>
      <c r="B95" s="25">
        <v>2</v>
      </c>
      <c r="C95" s="26" t="s">
        <v>53</v>
      </c>
    </row>
    <row r="96" spans="1:3" ht="18" customHeight="1" x14ac:dyDescent="0.2">
      <c r="A96" s="21" t="s">
        <v>112</v>
      </c>
      <c r="B96" s="25">
        <v>2</v>
      </c>
      <c r="C96" s="26" t="s">
        <v>53</v>
      </c>
    </row>
    <row r="97" spans="1:3" ht="18" customHeight="1" x14ac:dyDescent="0.2">
      <c r="A97" s="24" t="s">
        <v>113</v>
      </c>
      <c r="B97" s="25">
        <v>2</v>
      </c>
      <c r="C97" s="26" t="s">
        <v>53</v>
      </c>
    </row>
    <row r="98" spans="1:3" ht="18" customHeight="1" x14ac:dyDescent="0.2">
      <c r="A98" s="21" t="s">
        <v>114</v>
      </c>
      <c r="B98" s="25">
        <v>2</v>
      </c>
      <c r="C98" s="26" t="s">
        <v>53</v>
      </c>
    </row>
    <row r="99" spans="1:3" ht="18" customHeight="1" x14ac:dyDescent="0.2">
      <c r="A99" s="24" t="s">
        <v>115</v>
      </c>
      <c r="B99" s="25">
        <v>2</v>
      </c>
      <c r="C99" s="26" t="s">
        <v>53</v>
      </c>
    </row>
    <row r="100" spans="1:3" ht="18" customHeight="1" x14ac:dyDescent="0.2">
      <c r="A100" s="21" t="s">
        <v>116</v>
      </c>
      <c r="B100" s="25">
        <v>2</v>
      </c>
      <c r="C100" s="26" t="s">
        <v>53</v>
      </c>
    </row>
    <row r="101" spans="1:3" ht="18" customHeight="1" x14ac:dyDescent="0.2">
      <c r="A101" s="24" t="s">
        <v>117</v>
      </c>
      <c r="B101" s="27">
        <v>3</v>
      </c>
      <c r="C101" s="28" t="s">
        <v>56</v>
      </c>
    </row>
    <row r="102" spans="1:3" ht="18" customHeight="1" x14ac:dyDescent="0.2">
      <c r="A102" s="21" t="s">
        <v>118</v>
      </c>
      <c r="B102" s="27">
        <v>3</v>
      </c>
      <c r="C102" s="28" t="s">
        <v>56</v>
      </c>
    </row>
    <row r="103" spans="1:3" ht="18" customHeight="1" x14ac:dyDescent="0.2">
      <c r="A103" s="24" t="s">
        <v>119</v>
      </c>
      <c r="B103" s="27">
        <v>3</v>
      </c>
      <c r="C103" s="28" t="s">
        <v>56</v>
      </c>
    </row>
    <row r="104" spans="1:3" ht="18" customHeight="1" x14ac:dyDescent="0.2">
      <c r="A104" s="21" t="s">
        <v>120</v>
      </c>
      <c r="B104" s="27">
        <v>3</v>
      </c>
      <c r="C104" s="28" t="s">
        <v>56</v>
      </c>
    </row>
    <row r="105" spans="1:3" ht="18" customHeight="1" x14ac:dyDescent="0.2">
      <c r="A105" s="24" t="s">
        <v>121</v>
      </c>
      <c r="B105" s="27">
        <v>3</v>
      </c>
      <c r="C105" s="28" t="s">
        <v>56</v>
      </c>
    </row>
    <row r="106" spans="1:3" ht="18" customHeight="1" x14ac:dyDescent="0.2">
      <c r="A106" s="21" t="s">
        <v>122</v>
      </c>
      <c r="B106" s="27">
        <v>3</v>
      </c>
      <c r="C106" s="28" t="s">
        <v>56</v>
      </c>
    </row>
    <row r="107" spans="1:3" ht="18" customHeight="1" x14ac:dyDescent="0.2">
      <c r="A107" s="24" t="s">
        <v>123</v>
      </c>
      <c r="B107" s="27">
        <v>3</v>
      </c>
      <c r="C107" s="28" t="s">
        <v>56</v>
      </c>
    </row>
    <row r="108" spans="1:3" ht="18" customHeight="1" x14ac:dyDescent="0.2">
      <c r="A108" s="21" t="s">
        <v>124</v>
      </c>
      <c r="B108" s="27">
        <v>3</v>
      </c>
      <c r="C108" s="28" t="s">
        <v>56</v>
      </c>
    </row>
    <row r="109" spans="1:3" ht="18" customHeight="1" x14ac:dyDescent="0.2">
      <c r="A109" s="24" t="s">
        <v>125</v>
      </c>
      <c r="B109" s="27">
        <v>3</v>
      </c>
      <c r="C109" s="28" t="s">
        <v>56</v>
      </c>
    </row>
    <row r="110" spans="1:3" ht="18" customHeight="1" x14ac:dyDescent="0.2">
      <c r="A110" s="21" t="s">
        <v>126</v>
      </c>
      <c r="B110" s="27">
        <v>3</v>
      </c>
      <c r="C110" s="28" t="s">
        <v>56</v>
      </c>
    </row>
    <row r="111" spans="1:3" ht="18" customHeight="1" x14ac:dyDescent="0.2">
      <c r="A111" s="24" t="s">
        <v>127</v>
      </c>
      <c r="B111" s="29">
        <v>4</v>
      </c>
      <c r="C111" s="30" t="s">
        <v>60</v>
      </c>
    </row>
    <row r="112" spans="1:3" ht="18" customHeight="1" x14ac:dyDescent="0.2">
      <c r="A112" s="21" t="s">
        <v>128</v>
      </c>
      <c r="B112" s="29">
        <v>4</v>
      </c>
      <c r="C112" s="30" t="s">
        <v>60</v>
      </c>
    </row>
    <row r="113" spans="1:3" ht="18" customHeight="1" x14ac:dyDescent="0.2">
      <c r="A113" s="24" t="s">
        <v>129</v>
      </c>
      <c r="B113" s="29">
        <v>4</v>
      </c>
      <c r="C113" s="30" t="s">
        <v>60</v>
      </c>
    </row>
    <row r="114" spans="1:3" ht="18" customHeight="1" x14ac:dyDescent="0.2">
      <c r="A114" s="21" t="s">
        <v>130</v>
      </c>
      <c r="B114" s="29">
        <v>4</v>
      </c>
      <c r="C114" s="30" t="s">
        <v>60</v>
      </c>
    </row>
    <row r="115" spans="1:3" ht="18" customHeight="1" x14ac:dyDescent="0.2">
      <c r="A115" s="24" t="s">
        <v>131</v>
      </c>
      <c r="B115" s="29">
        <v>4</v>
      </c>
      <c r="C115" s="30" t="s">
        <v>60</v>
      </c>
    </row>
    <row r="119" spans="1:3" ht="21.75" customHeight="1" x14ac:dyDescent="0.2">
      <c r="A119" s="43" t="s">
        <v>132</v>
      </c>
      <c r="B119" s="43"/>
      <c r="C119" s="43"/>
    </row>
    <row r="120" spans="1:3" ht="18" customHeight="1" x14ac:dyDescent="0.2">
      <c r="A120" s="21" t="s">
        <v>133</v>
      </c>
      <c r="B120" s="22">
        <v>1</v>
      </c>
      <c r="C120" s="23" t="s">
        <v>49</v>
      </c>
    </row>
    <row r="121" spans="1:3" ht="18" customHeight="1" x14ac:dyDescent="0.2">
      <c r="A121" s="24" t="s">
        <v>134</v>
      </c>
      <c r="B121" s="22">
        <v>1</v>
      </c>
      <c r="C121" s="23" t="s">
        <v>49</v>
      </c>
    </row>
    <row r="122" spans="1:3" ht="18" customHeight="1" x14ac:dyDescent="0.2">
      <c r="A122" s="21" t="s">
        <v>135</v>
      </c>
      <c r="B122" s="27">
        <v>3</v>
      </c>
      <c r="C122" s="28" t="s">
        <v>56</v>
      </c>
    </row>
    <row r="123" spans="1:3" ht="18" customHeight="1" x14ac:dyDescent="0.2">
      <c r="A123" s="24" t="s">
        <v>136</v>
      </c>
      <c r="B123" s="29">
        <v>4</v>
      </c>
      <c r="C123" s="30" t="s">
        <v>60</v>
      </c>
    </row>
    <row r="127" spans="1:3" ht="21.75" customHeight="1" x14ac:dyDescent="0.2">
      <c r="A127" s="43" t="s">
        <v>137</v>
      </c>
      <c r="B127" s="43"/>
      <c r="C127" s="43"/>
    </row>
    <row r="128" spans="1:3" ht="18" customHeight="1" x14ac:dyDescent="0.2">
      <c r="A128" s="21" t="s">
        <v>138</v>
      </c>
      <c r="B128" s="22">
        <v>1</v>
      </c>
      <c r="C128" s="23" t="s">
        <v>49</v>
      </c>
    </row>
    <row r="129" spans="1:3" ht="18" customHeight="1" x14ac:dyDescent="0.2">
      <c r="A129" s="24" t="s">
        <v>139</v>
      </c>
      <c r="B129" s="25">
        <v>2</v>
      </c>
      <c r="C129" s="26" t="s">
        <v>53</v>
      </c>
    </row>
    <row r="130" spans="1:3" ht="18" customHeight="1" x14ac:dyDescent="0.2">
      <c r="A130" s="21" t="s">
        <v>140</v>
      </c>
      <c r="B130" s="25">
        <v>2</v>
      </c>
      <c r="C130" s="26" t="s">
        <v>53</v>
      </c>
    </row>
    <row r="131" spans="1:3" ht="18" customHeight="1" x14ac:dyDescent="0.2">
      <c r="A131" s="24" t="s">
        <v>141</v>
      </c>
      <c r="B131" s="27">
        <v>3</v>
      </c>
      <c r="C131" s="28" t="s">
        <v>56</v>
      </c>
    </row>
    <row r="135" spans="1:3" ht="21.75" customHeight="1" x14ac:dyDescent="0.2">
      <c r="A135" s="43" t="s">
        <v>142</v>
      </c>
      <c r="B135" s="43"/>
      <c r="C135" s="43"/>
    </row>
    <row r="136" spans="1:3" ht="18" customHeight="1" x14ac:dyDescent="0.2">
      <c r="A136" s="21" t="s">
        <v>143</v>
      </c>
      <c r="B136" s="22">
        <v>1</v>
      </c>
      <c r="C136" s="23" t="s">
        <v>49</v>
      </c>
    </row>
    <row r="137" spans="1:3" ht="18" customHeight="1" x14ac:dyDescent="0.2">
      <c r="A137" s="24" t="s">
        <v>144</v>
      </c>
      <c r="B137" s="22">
        <v>1</v>
      </c>
      <c r="C137" s="23" t="s">
        <v>49</v>
      </c>
    </row>
    <row r="138" spans="1:3" ht="18" customHeight="1" x14ac:dyDescent="0.2">
      <c r="A138" s="21" t="s">
        <v>145</v>
      </c>
      <c r="B138" s="25">
        <v>2</v>
      </c>
      <c r="C138" s="26" t="s">
        <v>53</v>
      </c>
    </row>
    <row r="139" spans="1:3" ht="18" customHeight="1" x14ac:dyDescent="0.2">
      <c r="A139" s="24" t="s">
        <v>146</v>
      </c>
      <c r="B139" s="25">
        <v>2</v>
      </c>
      <c r="C139" s="26" t="s">
        <v>53</v>
      </c>
    </row>
    <row r="140" spans="1:3" ht="18" customHeight="1" x14ac:dyDescent="0.2">
      <c r="A140" s="21" t="s">
        <v>147</v>
      </c>
      <c r="B140" s="22">
        <v>1</v>
      </c>
      <c r="C140" s="23" t="s">
        <v>49</v>
      </c>
    </row>
    <row r="141" spans="1:3" ht="18" customHeight="1" x14ac:dyDescent="0.2">
      <c r="A141" s="24" t="s">
        <v>148</v>
      </c>
      <c r="B141" s="27">
        <v>3</v>
      </c>
      <c r="C141" s="28" t="s">
        <v>56</v>
      </c>
    </row>
    <row r="142" spans="1:3" ht="18" customHeight="1" x14ac:dyDescent="0.2">
      <c r="A142" s="21" t="s">
        <v>149</v>
      </c>
      <c r="B142" s="27">
        <v>3</v>
      </c>
      <c r="C142" s="28" t="s">
        <v>56</v>
      </c>
    </row>
    <row r="143" spans="1:3" ht="18" customHeight="1" x14ac:dyDescent="0.2">
      <c r="A143" s="24" t="s">
        <v>150</v>
      </c>
      <c r="B143" s="27">
        <v>3</v>
      </c>
      <c r="C143" s="28" t="s">
        <v>56</v>
      </c>
    </row>
    <row r="146" spans="1:3" ht="21.75" customHeight="1" x14ac:dyDescent="0.2">
      <c r="A146" s="43" t="s">
        <v>151</v>
      </c>
      <c r="B146" s="43"/>
      <c r="C146" s="43"/>
    </row>
    <row r="147" spans="1:3" ht="18" customHeight="1" x14ac:dyDescent="0.2">
      <c r="A147" s="21" t="s">
        <v>152</v>
      </c>
      <c r="B147" s="22">
        <v>1</v>
      </c>
      <c r="C147" s="23" t="s">
        <v>49</v>
      </c>
    </row>
    <row r="148" spans="1:3" ht="18" customHeight="1" x14ac:dyDescent="0.2">
      <c r="A148" s="24" t="s">
        <v>153</v>
      </c>
      <c r="B148" s="22">
        <v>1</v>
      </c>
      <c r="C148" s="23" t="s">
        <v>49</v>
      </c>
    </row>
    <row r="149" spans="1:3" ht="18" customHeight="1" x14ac:dyDescent="0.2">
      <c r="A149" s="21" t="s">
        <v>154</v>
      </c>
      <c r="B149" s="22">
        <v>1</v>
      </c>
      <c r="C149" s="23" t="s">
        <v>49</v>
      </c>
    </row>
    <row r="150" spans="1:3" ht="18" customHeight="1" x14ac:dyDescent="0.2">
      <c r="A150" s="24" t="s">
        <v>155</v>
      </c>
      <c r="B150" s="22">
        <v>1</v>
      </c>
      <c r="C150" s="23" t="s">
        <v>49</v>
      </c>
    </row>
    <row r="151" spans="1:3" ht="18" customHeight="1" x14ac:dyDescent="0.2">
      <c r="A151" s="21" t="s">
        <v>156</v>
      </c>
      <c r="B151" s="25">
        <v>2</v>
      </c>
      <c r="C151" s="26" t="s">
        <v>53</v>
      </c>
    </row>
    <row r="152" spans="1:3" ht="18" customHeight="1" x14ac:dyDescent="0.2">
      <c r="A152" s="24" t="s">
        <v>157</v>
      </c>
      <c r="B152" s="25">
        <v>2</v>
      </c>
      <c r="C152" s="26" t="s">
        <v>53</v>
      </c>
    </row>
    <row r="153" spans="1:3" ht="18" customHeight="1" x14ac:dyDescent="0.2">
      <c r="A153" s="21" t="s">
        <v>158</v>
      </c>
      <c r="B153" s="27">
        <v>3</v>
      </c>
      <c r="C153" s="28" t="s">
        <v>56</v>
      </c>
    </row>
    <row r="154" spans="1:3" ht="18" customHeight="1" x14ac:dyDescent="0.2">
      <c r="A154" s="24" t="s">
        <v>145</v>
      </c>
      <c r="B154" s="25">
        <v>2</v>
      </c>
      <c r="C154" s="26" t="s">
        <v>53</v>
      </c>
    </row>
    <row r="155" spans="1:3" ht="18" customHeight="1" x14ac:dyDescent="0.2">
      <c r="A155" s="21" t="s">
        <v>150</v>
      </c>
      <c r="B155" s="27">
        <v>3</v>
      </c>
      <c r="C155" s="28" t="s">
        <v>56</v>
      </c>
    </row>
  </sheetData>
  <mergeCells count="16">
    <mergeCell ref="A1:C1"/>
    <mergeCell ref="A2:C2"/>
    <mergeCell ref="A15:C15"/>
    <mergeCell ref="A23:C23"/>
    <mergeCell ref="A31:C31"/>
    <mergeCell ref="A39:C39"/>
    <mergeCell ref="A47:C47"/>
    <mergeCell ref="A55:C55"/>
    <mergeCell ref="A64:C64"/>
    <mergeCell ref="A72:C72"/>
    <mergeCell ref="A146:C146"/>
    <mergeCell ref="A80:C80"/>
    <mergeCell ref="A89:C89"/>
    <mergeCell ref="A119:C119"/>
    <mergeCell ref="A127:C127"/>
    <mergeCell ref="A135:C135"/>
  </mergeCells>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85"/>
  <sheetViews>
    <sheetView showGridLines="0" zoomScaleNormal="100" workbookViewId="0"/>
  </sheetViews>
  <sheetFormatPr baseColWidth="10" defaultColWidth="8.6640625" defaultRowHeight="15" customHeight="1" x14ac:dyDescent="0.2"/>
  <cols>
    <col min="1" max="1" width="30" customWidth="1"/>
    <col min="2" max="2" width="20" customWidth="1"/>
    <col min="3" max="3" width="14" customWidth="1"/>
    <col min="4" max="4" width="18" customWidth="1"/>
    <col min="5" max="5" width="14" customWidth="1"/>
    <col min="6" max="6" width="20" customWidth="1"/>
    <col min="7" max="7" width="40" customWidth="1"/>
  </cols>
  <sheetData>
    <row r="1" spans="1:7" ht="30" customHeight="1" x14ac:dyDescent="0.2">
      <c r="A1" s="47" t="s">
        <v>159</v>
      </c>
      <c r="B1" s="47"/>
      <c r="C1" s="47"/>
      <c r="D1" s="47"/>
      <c r="E1" s="47"/>
      <c r="F1" s="47"/>
      <c r="G1" s="47"/>
    </row>
    <row r="2" spans="1:7" ht="19.5" customHeight="1" x14ac:dyDescent="0.2">
      <c r="A2" s="31" t="s">
        <v>160</v>
      </c>
      <c r="B2" s="31" t="s">
        <v>161</v>
      </c>
      <c r="C2" s="31" t="s">
        <v>162</v>
      </c>
      <c r="D2" s="31" t="s">
        <v>163</v>
      </c>
      <c r="E2" s="31" t="s">
        <v>164</v>
      </c>
      <c r="F2" s="31" t="s">
        <v>165</v>
      </c>
      <c r="G2" s="31" t="s">
        <v>166</v>
      </c>
    </row>
    <row r="3" spans="1:7" ht="18" customHeight="1" x14ac:dyDescent="0.2">
      <c r="A3" s="21" t="s">
        <v>167</v>
      </c>
      <c r="B3" s="21" t="s">
        <v>168</v>
      </c>
      <c r="C3" s="32" t="s">
        <v>169</v>
      </c>
      <c r="D3" s="23" t="s">
        <v>170</v>
      </c>
      <c r="E3" s="33">
        <v>1</v>
      </c>
      <c r="F3" s="23" t="s">
        <v>49</v>
      </c>
      <c r="G3" s="21" t="s">
        <v>171</v>
      </c>
    </row>
    <row r="4" spans="1:7" ht="18" customHeight="1" x14ac:dyDescent="0.2">
      <c r="A4" s="24" t="s">
        <v>172</v>
      </c>
      <c r="B4" s="24" t="s">
        <v>173</v>
      </c>
      <c r="C4" s="34" t="s">
        <v>169</v>
      </c>
      <c r="D4" s="23" t="s">
        <v>170</v>
      </c>
      <c r="E4" s="33">
        <v>1</v>
      </c>
      <c r="F4" s="23" t="s">
        <v>49</v>
      </c>
      <c r="G4" s="24" t="s">
        <v>171</v>
      </c>
    </row>
    <row r="5" spans="1:7" ht="18" customHeight="1" x14ac:dyDescent="0.2">
      <c r="A5" s="21" t="s">
        <v>174</v>
      </c>
      <c r="B5" s="21" t="s">
        <v>175</v>
      </c>
      <c r="C5" s="32" t="s">
        <v>169</v>
      </c>
      <c r="D5" s="23" t="s">
        <v>170</v>
      </c>
      <c r="E5" s="33">
        <v>1</v>
      </c>
      <c r="F5" s="23" t="s">
        <v>49</v>
      </c>
      <c r="G5" s="21" t="s">
        <v>176</v>
      </c>
    </row>
    <row r="6" spans="1:7" ht="18" customHeight="1" x14ac:dyDescent="0.2">
      <c r="A6" s="24" t="s">
        <v>177</v>
      </c>
      <c r="B6" s="24" t="s">
        <v>175</v>
      </c>
      <c r="C6" s="34" t="s">
        <v>169</v>
      </c>
      <c r="D6" s="23" t="s">
        <v>170</v>
      </c>
      <c r="E6" s="33">
        <v>1</v>
      </c>
      <c r="F6" s="23" t="s">
        <v>49</v>
      </c>
      <c r="G6" s="24" t="s">
        <v>176</v>
      </c>
    </row>
    <row r="7" spans="1:7" ht="18" customHeight="1" x14ac:dyDescent="0.2">
      <c r="A7" s="21" t="s">
        <v>178</v>
      </c>
      <c r="B7" s="21" t="s">
        <v>168</v>
      </c>
      <c r="C7" s="32" t="s">
        <v>169</v>
      </c>
      <c r="D7" s="23" t="s">
        <v>170</v>
      </c>
      <c r="E7" s="33">
        <v>1</v>
      </c>
      <c r="F7" s="23" t="s">
        <v>49</v>
      </c>
      <c r="G7" s="21" t="s">
        <v>179</v>
      </c>
    </row>
    <row r="8" spans="1:7" ht="18" customHeight="1" x14ac:dyDescent="0.2">
      <c r="A8" s="24" t="s">
        <v>180</v>
      </c>
      <c r="B8" s="24" t="s">
        <v>175</v>
      </c>
      <c r="C8" s="34" t="s">
        <v>169</v>
      </c>
      <c r="D8" s="23" t="s">
        <v>170</v>
      </c>
      <c r="E8" s="33">
        <v>1</v>
      </c>
      <c r="F8" s="23" t="s">
        <v>49</v>
      </c>
      <c r="G8" s="24" t="s">
        <v>181</v>
      </c>
    </row>
    <row r="9" spans="1:7" ht="18" customHeight="1" x14ac:dyDescent="0.2">
      <c r="A9" s="21" t="s">
        <v>182</v>
      </c>
      <c r="B9" s="21" t="s">
        <v>168</v>
      </c>
      <c r="C9" s="32" t="s">
        <v>169</v>
      </c>
      <c r="D9" s="23" t="s">
        <v>170</v>
      </c>
      <c r="E9" s="33">
        <v>1</v>
      </c>
      <c r="F9" s="23" t="s">
        <v>49</v>
      </c>
      <c r="G9" s="21" t="s">
        <v>183</v>
      </c>
    </row>
    <row r="10" spans="1:7" ht="18" customHeight="1" x14ac:dyDescent="0.2">
      <c r="A10" s="24" t="s">
        <v>184</v>
      </c>
      <c r="B10" s="24" t="s">
        <v>175</v>
      </c>
      <c r="C10" s="34" t="s">
        <v>169</v>
      </c>
      <c r="D10" s="23" t="s">
        <v>170</v>
      </c>
      <c r="E10" s="33">
        <v>1</v>
      </c>
      <c r="F10" s="23" t="s">
        <v>49</v>
      </c>
      <c r="G10" s="24" t="s">
        <v>185</v>
      </c>
    </row>
    <row r="11" spans="1:7" ht="18" customHeight="1" x14ac:dyDescent="0.2">
      <c r="A11" s="21" t="s">
        <v>186</v>
      </c>
      <c r="B11" s="21" t="s">
        <v>175</v>
      </c>
      <c r="C11" s="32" t="s">
        <v>169</v>
      </c>
      <c r="D11" s="23" t="s">
        <v>170</v>
      </c>
      <c r="E11" s="33">
        <v>1</v>
      </c>
      <c r="F11" s="23" t="s">
        <v>49</v>
      </c>
      <c r="G11" s="21" t="s">
        <v>176</v>
      </c>
    </row>
    <row r="12" spans="1:7" ht="18" customHeight="1" x14ac:dyDescent="0.2">
      <c r="A12" s="24" t="s">
        <v>187</v>
      </c>
      <c r="B12" s="24" t="s">
        <v>168</v>
      </c>
      <c r="C12" s="34" t="s">
        <v>169</v>
      </c>
      <c r="D12" s="23" t="s">
        <v>170</v>
      </c>
      <c r="E12" s="33">
        <v>1</v>
      </c>
      <c r="F12" s="23" t="s">
        <v>49</v>
      </c>
      <c r="G12" s="24" t="s">
        <v>188</v>
      </c>
    </row>
    <row r="13" spans="1:7" ht="18" customHeight="1" x14ac:dyDescent="0.2">
      <c r="A13" s="21" t="s">
        <v>189</v>
      </c>
      <c r="B13" s="21" t="s">
        <v>168</v>
      </c>
      <c r="C13" s="32" t="s">
        <v>169</v>
      </c>
      <c r="D13" s="23" t="s">
        <v>170</v>
      </c>
      <c r="E13" s="33">
        <v>1</v>
      </c>
      <c r="F13" s="23" t="s">
        <v>49</v>
      </c>
      <c r="G13" s="21" t="s">
        <v>190</v>
      </c>
    </row>
    <row r="14" spans="1:7" ht="18" customHeight="1" x14ac:dyDescent="0.2">
      <c r="A14" s="24" t="s">
        <v>191</v>
      </c>
      <c r="B14" s="24" t="s">
        <v>175</v>
      </c>
      <c r="C14" s="34" t="s">
        <v>169</v>
      </c>
      <c r="D14" s="23" t="s">
        <v>170</v>
      </c>
      <c r="E14" s="33">
        <v>1</v>
      </c>
      <c r="F14" s="23" t="s">
        <v>49</v>
      </c>
      <c r="G14" s="24" t="s">
        <v>192</v>
      </c>
    </row>
    <row r="15" spans="1:7" ht="18" customHeight="1" x14ac:dyDescent="0.2">
      <c r="A15" s="21" t="s">
        <v>193</v>
      </c>
      <c r="B15" s="21" t="s">
        <v>175</v>
      </c>
      <c r="C15" s="32" t="s">
        <v>169</v>
      </c>
      <c r="D15" s="23" t="s">
        <v>170</v>
      </c>
      <c r="E15" s="33">
        <v>1</v>
      </c>
      <c r="F15" s="23" t="s">
        <v>49</v>
      </c>
      <c r="G15" s="21" t="s">
        <v>194</v>
      </c>
    </row>
    <row r="16" spans="1:7" ht="18" customHeight="1" x14ac:dyDescent="0.2">
      <c r="A16" s="24" t="s">
        <v>195</v>
      </c>
      <c r="B16" s="24" t="s">
        <v>173</v>
      </c>
      <c r="C16" s="34" t="s">
        <v>169</v>
      </c>
      <c r="D16" s="23" t="s">
        <v>170</v>
      </c>
      <c r="E16" s="33">
        <v>1</v>
      </c>
      <c r="F16" s="23" t="s">
        <v>49</v>
      </c>
      <c r="G16" s="24" t="s">
        <v>196</v>
      </c>
    </row>
    <row r="17" spans="1:7" ht="18" customHeight="1" x14ac:dyDescent="0.2">
      <c r="A17" s="21" t="s">
        <v>197</v>
      </c>
      <c r="B17" s="21" t="s">
        <v>175</v>
      </c>
      <c r="C17" s="32" t="s">
        <v>169</v>
      </c>
      <c r="D17" s="23" t="s">
        <v>170</v>
      </c>
      <c r="E17" s="33">
        <v>1</v>
      </c>
      <c r="F17" s="23" t="s">
        <v>49</v>
      </c>
      <c r="G17" s="21" t="s">
        <v>198</v>
      </c>
    </row>
    <row r="18" spans="1:7" ht="18" customHeight="1" x14ac:dyDescent="0.2">
      <c r="A18" s="24" t="s">
        <v>199</v>
      </c>
      <c r="B18" s="24" t="s">
        <v>175</v>
      </c>
      <c r="C18" s="34" t="s">
        <v>169</v>
      </c>
      <c r="D18" s="23" t="s">
        <v>170</v>
      </c>
      <c r="E18" s="33">
        <v>1</v>
      </c>
      <c r="F18" s="23" t="s">
        <v>49</v>
      </c>
      <c r="G18" s="24" t="s">
        <v>200</v>
      </c>
    </row>
    <row r="19" spans="1:7" ht="18" customHeight="1" x14ac:dyDescent="0.2">
      <c r="A19" s="21" t="s">
        <v>201</v>
      </c>
      <c r="B19" s="21" t="s">
        <v>175</v>
      </c>
      <c r="C19" s="32" t="s">
        <v>169</v>
      </c>
      <c r="D19" s="23" t="s">
        <v>170</v>
      </c>
      <c r="E19" s="33">
        <v>1</v>
      </c>
      <c r="F19" s="23" t="s">
        <v>49</v>
      </c>
      <c r="G19" s="21" t="s">
        <v>202</v>
      </c>
    </row>
    <row r="20" spans="1:7" ht="18" customHeight="1" x14ac:dyDescent="0.2">
      <c r="A20" s="24" t="s">
        <v>203</v>
      </c>
      <c r="B20" s="24" t="s">
        <v>175</v>
      </c>
      <c r="C20" s="34" t="s">
        <v>169</v>
      </c>
      <c r="D20" s="23" t="s">
        <v>170</v>
      </c>
      <c r="E20" s="33">
        <v>1</v>
      </c>
      <c r="F20" s="23" t="s">
        <v>49</v>
      </c>
      <c r="G20" s="24" t="s">
        <v>202</v>
      </c>
    </row>
    <row r="21" spans="1:7" ht="18" customHeight="1" x14ac:dyDescent="0.2">
      <c r="A21" s="21" t="s">
        <v>204</v>
      </c>
      <c r="B21" s="21" t="s">
        <v>175</v>
      </c>
      <c r="C21" s="32" t="s">
        <v>169</v>
      </c>
      <c r="D21" s="23" t="s">
        <v>170</v>
      </c>
      <c r="E21" s="33">
        <v>1</v>
      </c>
      <c r="F21" s="23" t="s">
        <v>49</v>
      </c>
      <c r="G21" s="21" t="s">
        <v>202</v>
      </c>
    </row>
    <row r="22" spans="1:7" ht="18" customHeight="1" x14ac:dyDescent="0.2">
      <c r="A22" s="24" t="s">
        <v>205</v>
      </c>
      <c r="B22" s="24" t="s">
        <v>175</v>
      </c>
      <c r="C22" s="34" t="s">
        <v>169</v>
      </c>
      <c r="D22" s="23" t="s">
        <v>170</v>
      </c>
      <c r="E22" s="33">
        <v>1</v>
      </c>
      <c r="F22" s="23" t="s">
        <v>49</v>
      </c>
      <c r="G22" s="24" t="s">
        <v>202</v>
      </c>
    </row>
    <row r="23" spans="1:7" ht="18" customHeight="1" x14ac:dyDescent="0.2">
      <c r="A23" s="21" t="s">
        <v>206</v>
      </c>
      <c r="B23" s="21" t="s">
        <v>168</v>
      </c>
      <c r="C23" s="32" t="s">
        <v>169</v>
      </c>
      <c r="D23" s="23" t="s">
        <v>170</v>
      </c>
      <c r="E23" s="33">
        <v>1</v>
      </c>
      <c r="F23" s="23" t="s">
        <v>49</v>
      </c>
      <c r="G23" s="21" t="s">
        <v>207</v>
      </c>
    </row>
    <row r="24" spans="1:7" ht="18" customHeight="1" x14ac:dyDescent="0.2">
      <c r="A24" s="24" t="s">
        <v>208</v>
      </c>
      <c r="B24" s="24" t="s">
        <v>209</v>
      </c>
      <c r="C24" s="34" t="s">
        <v>169</v>
      </c>
      <c r="D24" s="23" t="s">
        <v>170</v>
      </c>
      <c r="E24" s="33">
        <v>1</v>
      </c>
      <c r="F24" s="23" t="s">
        <v>49</v>
      </c>
      <c r="G24" s="24" t="s">
        <v>210</v>
      </c>
    </row>
    <row r="25" spans="1:7" ht="18" customHeight="1" x14ac:dyDescent="0.2">
      <c r="A25" s="21" t="s">
        <v>211</v>
      </c>
      <c r="B25" s="21" t="s">
        <v>209</v>
      </c>
      <c r="C25" s="32" t="s">
        <v>169</v>
      </c>
      <c r="D25" s="23" t="s">
        <v>170</v>
      </c>
      <c r="E25" s="35">
        <v>2</v>
      </c>
      <c r="F25" s="26" t="s">
        <v>53</v>
      </c>
      <c r="G25" s="21" t="s">
        <v>212</v>
      </c>
    </row>
    <row r="26" spans="1:7" ht="18" customHeight="1" x14ac:dyDescent="0.2">
      <c r="A26" s="24" t="s">
        <v>213</v>
      </c>
      <c r="B26" s="24" t="s">
        <v>214</v>
      </c>
      <c r="C26" s="34" t="s">
        <v>169</v>
      </c>
      <c r="D26" s="23" t="s">
        <v>170</v>
      </c>
      <c r="E26" s="35">
        <v>2</v>
      </c>
      <c r="F26" s="26" t="s">
        <v>53</v>
      </c>
      <c r="G26" s="24" t="s">
        <v>215</v>
      </c>
    </row>
    <row r="27" spans="1:7" ht="18" customHeight="1" x14ac:dyDescent="0.2">
      <c r="A27" s="21" t="s">
        <v>216</v>
      </c>
      <c r="B27" s="21" t="s">
        <v>173</v>
      </c>
      <c r="C27" s="32" t="s">
        <v>169</v>
      </c>
      <c r="D27" s="23" t="s">
        <v>170</v>
      </c>
      <c r="E27" s="35">
        <v>2</v>
      </c>
      <c r="F27" s="26" t="s">
        <v>53</v>
      </c>
      <c r="G27" s="21" t="s">
        <v>217</v>
      </c>
    </row>
    <row r="28" spans="1:7" ht="18" customHeight="1" x14ac:dyDescent="0.2">
      <c r="A28" s="24" t="s">
        <v>218</v>
      </c>
      <c r="B28" s="24" t="s">
        <v>173</v>
      </c>
      <c r="C28" s="34" t="s">
        <v>169</v>
      </c>
      <c r="D28" s="23" t="s">
        <v>170</v>
      </c>
      <c r="E28" s="35">
        <v>2</v>
      </c>
      <c r="F28" s="26" t="s">
        <v>53</v>
      </c>
      <c r="G28" s="24" t="s">
        <v>219</v>
      </c>
    </row>
    <row r="29" spans="1:7" ht="18" customHeight="1" x14ac:dyDescent="0.2">
      <c r="A29" s="21" t="s">
        <v>220</v>
      </c>
      <c r="B29" s="21" t="s">
        <v>168</v>
      </c>
      <c r="C29" s="32" t="s">
        <v>169</v>
      </c>
      <c r="D29" s="23" t="s">
        <v>170</v>
      </c>
      <c r="E29" s="35">
        <v>2</v>
      </c>
      <c r="F29" s="26" t="s">
        <v>53</v>
      </c>
      <c r="G29" s="21" t="s">
        <v>221</v>
      </c>
    </row>
    <row r="30" spans="1:7" ht="18" customHeight="1" x14ac:dyDescent="0.2">
      <c r="A30" s="24" t="s">
        <v>222</v>
      </c>
      <c r="B30" s="24" t="s">
        <v>168</v>
      </c>
      <c r="C30" s="34" t="s">
        <v>169</v>
      </c>
      <c r="D30" s="23" t="s">
        <v>170</v>
      </c>
      <c r="E30" s="35">
        <v>2</v>
      </c>
      <c r="F30" s="26" t="s">
        <v>53</v>
      </c>
      <c r="G30" s="24" t="s">
        <v>223</v>
      </c>
    </row>
    <row r="31" spans="1:7" ht="18" customHeight="1" x14ac:dyDescent="0.2">
      <c r="A31" s="21" t="s">
        <v>224</v>
      </c>
      <c r="B31" s="21" t="s">
        <v>168</v>
      </c>
      <c r="C31" s="32" t="s">
        <v>169</v>
      </c>
      <c r="D31" s="23" t="s">
        <v>170</v>
      </c>
      <c r="E31" s="35">
        <v>2</v>
      </c>
      <c r="F31" s="26" t="s">
        <v>53</v>
      </c>
      <c r="G31" s="21" t="s">
        <v>225</v>
      </c>
    </row>
    <row r="32" spans="1:7" ht="18" customHeight="1" x14ac:dyDescent="0.2">
      <c r="A32" s="24" t="s">
        <v>226</v>
      </c>
      <c r="B32" s="24" t="s">
        <v>209</v>
      </c>
      <c r="C32" s="34" t="s">
        <v>169</v>
      </c>
      <c r="D32" s="23" t="s">
        <v>170</v>
      </c>
      <c r="E32" s="35">
        <v>2</v>
      </c>
      <c r="F32" s="26" t="s">
        <v>53</v>
      </c>
      <c r="G32" s="24" t="s">
        <v>227</v>
      </c>
    </row>
    <row r="33" spans="1:7" ht="18" customHeight="1" x14ac:dyDescent="0.2">
      <c r="A33" s="21" t="s">
        <v>228</v>
      </c>
      <c r="B33" s="21" t="s">
        <v>168</v>
      </c>
      <c r="C33" s="32" t="s">
        <v>169</v>
      </c>
      <c r="D33" s="23" t="s">
        <v>170</v>
      </c>
      <c r="E33" s="35">
        <v>2</v>
      </c>
      <c r="F33" s="26" t="s">
        <v>53</v>
      </c>
      <c r="G33" s="21" t="s">
        <v>229</v>
      </c>
    </row>
    <row r="34" spans="1:7" ht="18" customHeight="1" x14ac:dyDescent="0.2">
      <c r="A34" s="24" t="s">
        <v>230</v>
      </c>
      <c r="B34" s="24" t="s">
        <v>214</v>
      </c>
      <c r="C34" s="34" t="s">
        <v>169</v>
      </c>
      <c r="D34" s="23" t="s">
        <v>170</v>
      </c>
      <c r="E34" s="35">
        <v>2</v>
      </c>
      <c r="F34" s="26" t="s">
        <v>53</v>
      </c>
      <c r="G34" s="24" t="s">
        <v>231</v>
      </c>
    </row>
    <row r="35" spans="1:7" ht="18" customHeight="1" x14ac:dyDescent="0.2">
      <c r="A35" s="21" t="s">
        <v>232</v>
      </c>
      <c r="B35" s="21" t="s">
        <v>173</v>
      </c>
      <c r="C35" s="32" t="s">
        <v>169</v>
      </c>
      <c r="D35" s="23" t="s">
        <v>170</v>
      </c>
      <c r="E35" s="35">
        <v>2</v>
      </c>
      <c r="F35" s="26" t="s">
        <v>53</v>
      </c>
      <c r="G35" s="21" t="s">
        <v>233</v>
      </c>
    </row>
    <row r="36" spans="1:7" ht="18" customHeight="1" x14ac:dyDescent="0.2">
      <c r="A36" s="24" t="s">
        <v>234</v>
      </c>
      <c r="B36" s="24" t="s">
        <v>214</v>
      </c>
      <c r="C36" s="34" t="s">
        <v>169</v>
      </c>
      <c r="D36" s="23" t="s">
        <v>170</v>
      </c>
      <c r="E36" s="35">
        <v>2</v>
      </c>
      <c r="F36" s="26" t="s">
        <v>53</v>
      </c>
      <c r="G36" s="24" t="s">
        <v>235</v>
      </c>
    </row>
    <row r="37" spans="1:7" ht="18" customHeight="1" x14ac:dyDescent="0.2">
      <c r="A37" s="21" t="s">
        <v>236</v>
      </c>
      <c r="B37" s="21" t="s">
        <v>209</v>
      </c>
      <c r="C37" s="32" t="s">
        <v>169</v>
      </c>
      <c r="D37" s="23" t="s">
        <v>170</v>
      </c>
      <c r="E37" s="35">
        <v>2</v>
      </c>
      <c r="F37" s="26" t="s">
        <v>53</v>
      </c>
      <c r="G37" s="21" t="s">
        <v>237</v>
      </c>
    </row>
    <row r="38" spans="1:7" ht="18" customHeight="1" x14ac:dyDescent="0.2">
      <c r="A38" s="24" t="s">
        <v>238</v>
      </c>
      <c r="B38" s="24" t="s">
        <v>209</v>
      </c>
      <c r="C38" s="34" t="s">
        <v>169</v>
      </c>
      <c r="D38" s="23" t="s">
        <v>170</v>
      </c>
      <c r="E38" s="35">
        <v>2</v>
      </c>
      <c r="F38" s="26" t="s">
        <v>53</v>
      </c>
      <c r="G38" s="24" t="s">
        <v>239</v>
      </c>
    </row>
    <row r="39" spans="1:7" ht="18" customHeight="1" x14ac:dyDescent="0.2">
      <c r="A39" s="21" t="s">
        <v>240</v>
      </c>
      <c r="B39" s="21" t="s">
        <v>214</v>
      </c>
      <c r="C39" s="32" t="s">
        <v>169</v>
      </c>
      <c r="D39" s="23" t="s">
        <v>170</v>
      </c>
      <c r="E39" s="35">
        <v>2</v>
      </c>
      <c r="F39" s="26" t="s">
        <v>53</v>
      </c>
      <c r="G39" s="21" t="s">
        <v>241</v>
      </c>
    </row>
    <row r="40" spans="1:7" ht="18" customHeight="1" x14ac:dyDescent="0.2">
      <c r="A40" s="24" t="s">
        <v>242</v>
      </c>
      <c r="B40" s="24" t="s">
        <v>209</v>
      </c>
      <c r="C40" s="34" t="s">
        <v>169</v>
      </c>
      <c r="D40" s="23" t="s">
        <v>170</v>
      </c>
      <c r="E40" s="35">
        <v>2</v>
      </c>
      <c r="F40" s="26" t="s">
        <v>53</v>
      </c>
      <c r="G40" s="24" t="s">
        <v>243</v>
      </c>
    </row>
    <row r="41" spans="1:7" ht="18" customHeight="1" x14ac:dyDescent="0.2">
      <c r="A41" s="21" t="s">
        <v>244</v>
      </c>
      <c r="B41" s="21" t="s">
        <v>214</v>
      </c>
      <c r="C41" s="32" t="s">
        <v>169</v>
      </c>
      <c r="D41" s="23" t="s">
        <v>170</v>
      </c>
      <c r="E41" s="35">
        <v>2</v>
      </c>
      <c r="F41" s="26" t="s">
        <v>53</v>
      </c>
      <c r="G41" s="21" t="s">
        <v>245</v>
      </c>
    </row>
    <row r="42" spans="1:7" ht="18" customHeight="1" x14ac:dyDescent="0.2">
      <c r="A42" s="24" t="s">
        <v>246</v>
      </c>
      <c r="B42" s="24" t="s">
        <v>175</v>
      </c>
      <c r="C42" s="34" t="s">
        <v>169</v>
      </c>
      <c r="D42" s="23" t="s">
        <v>170</v>
      </c>
      <c r="E42" s="35">
        <v>2</v>
      </c>
      <c r="F42" s="26" t="s">
        <v>53</v>
      </c>
      <c r="G42" s="24" t="s">
        <v>247</v>
      </c>
    </row>
    <row r="43" spans="1:7" ht="18" customHeight="1" x14ac:dyDescent="0.2">
      <c r="A43" s="21" t="s">
        <v>248</v>
      </c>
      <c r="B43" s="21" t="s">
        <v>249</v>
      </c>
      <c r="C43" s="32" t="s">
        <v>169</v>
      </c>
      <c r="D43" s="23" t="s">
        <v>170</v>
      </c>
      <c r="E43" s="35">
        <v>2</v>
      </c>
      <c r="F43" s="26" t="s">
        <v>53</v>
      </c>
      <c r="G43" s="21" t="s">
        <v>250</v>
      </c>
    </row>
    <row r="44" spans="1:7" ht="18" customHeight="1" x14ac:dyDescent="0.2">
      <c r="A44" s="24" t="s">
        <v>251</v>
      </c>
      <c r="B44" s="24" t="s">
        <v>209</v>
      </c>
      <c r="C44" s="34" t="s">
        <v>169</v>
      </c>
      <c r="D44" s="23" t="s">
        <v>170</v>
      </c>
      <c r="E44" s="35">
        <v>2</v>
      </c>
      <c r="F44" s="26" t="s">
        <v>53</v>
      </c>
      <c r="G44" s="24" t="s">
        <v>252</v>
      </c>
    </row>
    <row r="45" spans="1:7" ht="18" customHeight="1" x14ac:dyDescent="0.2">
      <c r="A45" s="21" t="s">
        <v>253</v>
      </c>
      <c r="B45" s="21" t="s">
        <v>214</v>
      </c>
      <c r="C45" s="32" t="s">
        <v>169</v>
      </c>
      <c r="D45" s="23" t="s">
        <v>170</v>
      </c>
      <c r="E45" s="35">
        <v>2</v>
      </c>
      <c r="F45" s="26" t="s">
        <v>53</v>
      </c>
      <c r="G45" s="21" t="s">
        <v>254</v>
      </c>
    </row>
    <row r="46" spans="1:7" ht="18" customHeight="1" x14ac:dyDescent="0.2">
      <c r="A46" s="24" t="s">
        <v>255</v>
      </c>
      <c r="B46" s="24" t="s">
        <v>214</v>
      </c>
      <c r="C46" s="34" t="s">
        <v>169</v>
      </c>
      <c r="D46" s="23" t="s">
        <v>170</v>
      </c>
      <c r="E46" s="35">
        <v>2</v>
      </c>
      <c r="F46" s="26" t="s">
        <v>53</v>
      </c>
      <c r="G46" s="24" t="s">
        <v>256</v>
      </c>
    </row>
    <row r="47" spans="1:7" ht="18" customHeight="1" x14ac:dyDescent="0.2">
      <c r="A47" s="21" t="s">
        <v>257</v>
      </c>
      <c r="B47" s="21" t="s">
        <v>214</v>
      </c>
      <c r="C47" s="32" t="s">
        <v>169</v>
      </c>
      <c r="D47" s="23" t="s">
        <v>170</v>
      </c>
      <c r="E47" s="35">
        <v>2</v>
      </c>
      <c r="F47" s="26" t="s">
        <v>53</v>
      </c>
      <c r="G47" s="21" t="s">
        <v>258</v>
      </c>
    </row>
    <row r="48" spans="1:7" ht="18" customHeight="1" x14ac:dyDescent="0.2">
      <c r="A48" s="24" t="s">
        <v>259</v>
      </c>
      <c r="B48" s="24" t="s">
        <v>209</v>
      </c>
      <c r="C48" s="34" t="s">
        <v>169</v>
      </c>
      <c r="D48" s="23" t="s">
        <v>170</v>
      </c>
      <c r="E48" s="35">
        <v>2</v>
      </c>
      <c r="F48" s="26" t="s">
        <v>53</v>
      </c>
      <c r="G48" s="24" t="s">
        <v>235</v>
      </c>
    </row>
    <row r="49" spans="1:7" ht="18" customHeight="1" x14ac:dyDescent="0.2">
      <c r="A49" s="21" t="s">
        <v>260</v>
      </c>
      <c r="B49" s="21" t="s">
        <v>168</v>
      </c>
      <c r="C49" s="32" t="s">
        <v>169</v>
      </c>
      <c r="D49" s="23" t="s">
        <v>170</v>
      </c>
      <c r="E49" s="35">
        <v>2</v>
      </c>
      <c r="F49" s="26" t="s">
        <v>53</v>
      </c>
      <c r="G49" s="21" t="s">
        <v>261</v>
      </c>
    </row>
    <row r="50" spans="1:7" ht="18" customHeight="1" x14ac:dyDescent="0.2">
      <c r="A50" s="24" t="s">
        <v>262</v>
      </c>
      <c r="B50" s="24" t="s">
        <v>214</v>
      </c>
      <c r="C50" s="34" t="s">
        <v>169</v>
      </c>
      <c r="D50" s="23" t="s">
        <v>170</v>
      </c>
      <c r="E50" s="35">
        <v>2</v>
      </c>
      <c r="F50" s="26" t="s">
        <v>53</v>
      </c>
      <c r="G50" s="24" t="s">
        <v>263</v>
      </c>
    </row>
    <row r="51" spans="1:7" ht="18" customHeight="1" x14ac:dyDescent="0.2">
      <c r="A51" s="21" t="s">
        <v>264</v>
      </c>
      <c r="B51" s="21" t="s">
        <v>214</v>
      </c>
      <c r="C51" s="32" t="s">
        <v>169</v>
      </c>
      <c r="D51" s="28" t="s">
        <v>265</v>
      </c>
      <c r="E51" s="36">
        <v>3</v>
      </c>
      <c r="F51" s="28" t="s">
        <v>56</v>
      </c>
      <c r="G51" s="21" t="s">
        <v>266</v>
      </c>
    </row>
    <row r="52" spans="1:7" ht="18" customHeight="1" x14ac:dyDescent="0.2">
      <c r="A52" s="24" t="s">
        <v>267</v>
      </c>
      <c r="B52" s="24" t="s">
        <v>214</v>
      </c>
      <c r="C52" s="34" t="s">
        <v>169</v>
      </c>
      <c r="D52" s="28" t="s">
        <v>265</v>
      </c>
      <c r="E52" s="36">
        <v>3</v>
      </c>
      <c r="F52" s="28" t="s">
        <v>56</v>
      </c>
      <c r="G52" s="24" t="s">
        <v>268</v>
      </c>
    </row>
    <row r="53" spans="1:7" ht="18" customHeight="1" x14ac:dyDescent="0.2">
      <c r="A53" s="21" t="s">
        <v>269</v>
      </c>
      <c r="B53" s="21" t="s">
        <v>214</v>
      </c>
      <c r="C53" s="32" t="s">
        <v>169</v>
      </c>
      <c r="D53" s="28" t="s">
        <v>265</v>
      </c>
      <c r="E53" s="36">
        <v>3</v>
      </c>
      <c r="F53" s="28" t="s">
        <v>56</v>
      </c>
      <c r="G53" s="21" t="s">
        <v>270</v>
      </c>
    </row>
    <row r="54" spans="1:7" ht="18" customHeight="1" x14ac:dyDescent="0.2">
      <c r="A54" s="24" t="s">
        <v>271</v>
      </c>
      <c r="B54" s="24" t="s">
        <v>214</v>
      </c>
      <c r="C54" s="34" t="s">
        <v>169</v>
      </c>
      <c r="D54" s="28" t="s">
        <v>265</v>
      </c>
      <c r="E54" s="36">
        <v>3</v>
      </c>
      <c r="F54" s="28" t="s">
        <v>56</v>
      </c>
      <c r="G54" s="24" t="s">
        <v>272</v>
      </c>
    </row>
    <row r="55" spans="1:7" ht="18" customHeight="1" x14ac:dyDescent="0.2">
      <c r="A55" s="21" t="s">
        <v>273</v>
      </c>
      <c r="B55" s="21" t="s">
        <v>173</v>
      </c>
      <c r="C55" s="32" t="s">
        <v>169</v>
      </c>
      <c r="D55" s="28" t="s">
        <v>265</v>
      </c>
      <c r="E55" s="36">
        <v>3</v>
      </c>
      <c r="F55" s="28" t="s">
        <v>56</v>
      </c>
      <c r="G55" s="21" t="s">
        <v>274</v>
      </c>
    </row>
    <row r="56" spans="1:7" ht="18" customHeight="1" x14ac:dyDescent="0.2">
      <c r="A56" s="24" t="s">
        <v>275</v>
      </c>
      <c r="B56" s="24" t="s">
        <v>214</v>
      </c>
      <c r="C56" s="34" t="s">
        <v>169</v>
      </c>
      <c r="D56" s="28" t="s">
        <v>265</v>
      </c>
      <c r="E56" s="36">
        <v>3</v>
      </c>
      <c r="F56" s="28" t="s">
        <v>56</v>
      </c>
      <c r="G56" s="24" t="s">
        <v>276</v>
      </c>
    </row>
    <row r="57" spans="1:7" ht="18" customHeight="1" x14ac:dyDescent="0.2">
      <c r="A57" s="21" t="s">
        <v>277</v>
      </c>
      <c r="B57" s="21" t="s">
        <v>168</v>
      </c>
      <c r="C57" s="32" t="s">
        <v>169</v>
      </c>
      <c r="D57" s="28" t="s">
        <v>265</v>
      </c>
      <c r="E57" s="36">
        <v>3</v>
      </c>
      <c r="F57" s="28" t="s">
        <v>56</v>
      </c>
      <c r="G57" s="21" t="s">
        <v>270</v>
      </c>
    </row>
    <row r="58" spans="1:7" ht="18" customHeight="1" x14ac:dyDescent="0.2">
      <c r="A58" s="24" t="s">
        <v>278</v>
      </c>
      <c r="B58" s="24" t="s">
        <v>209</v>
      </c>
      <c r="C58" s="34" t="s">
        <v>169</v>
      </c>
      <c r="D58" s="28" t="s">
        <v>265</v>
      </c>
      <c r="E58" s="36">
        <v>3</v>
      </c>
      <c r="F58" s="28" t="s">
        <v>56</v>
      </c>
      <c r="G58" s="24" t="s">
        <v>279</v>
      </c>
    </row>
    <row r="59" spans="1:7" ht="18" customHeight="1" x14ac:dyDescent="0.2">
      <c r="A59" s="21" t="s">
        <v>280</v>
      </c>
      <c r="B59" s="21" t="s">
        <v>214</v>
      </c>
      <c r="C59" s="32" t="s">
        <v>169</v>
      </c>
      <c r="D59" s="28" t="s">
        <v>265</v>
      </c>
      <c r="E59" s="36">
        <v>3</v>
      </c>
      <c r="F59" s="28" t="s">
        <v>56</v>
      </c>
      <c r="G59" s="21" t="s">
        <v>281</v>
      </c>
    </row>
    <row r="60" spans="1:7" ht="18" customHeight="1" x14ac:dyDescent="0.2">
      <c r="A60" s="24" t="s">
        <v>282</v>
      </c>
      <c r="B60" s="24" t="s">
        <v>175</v>
      </c>
      <c r="C60" s="34" t="s">
        <v>169</v>
      </c>
      <c r="D60" s="28" t="s">
        <v>265</v>
      </c>
      <c r="E60" s="36">
        <v>3</v>
      </c>
      <c r="F60" s="28" t="s">
        <v>56</v>
      </c>
      <c r="G60" s="24" t="s">
        <v>270</v>
      </c>
    </row>
    <row r="61" spans="1:7" ht="18" customHeight="1" x14ac:dyDescent="0.2">
      <c r="A61" s="21" t="s">
        <v>283</v>
      </c>
      <c r="B61" s="21" t="s">
        <v>214</v>
      </c>
      <c r="C61" s="32" t="s">
        <v>169</v>
      </c>
      <c r="D61" s="28" t="s">
        <v>265</v>
      </c>
      <c r="E61" s="36">
        <v>3</v>
      </c>
      <c r="F61" s="28" t="s">
        <v>56</v>
      </c>
      <c r="G61" s="21" t="s">
        <v>270</v>
      </c>
    </row>
    <row r="62" spans="1:7" ht="18" customHeight="1" x14ac:dyDescent="0.2">
      <c r="A62" s="24" t="s">
        <v>284</v>
      </c>
      <c r="B62" s="24" t="s">
        <v>214</v>
      </c>
      <c r="C62" s="34" t="s">
        <v>169</v>
      </c>
      <c r="D62" s="28" t="s">
        <v>265</v>
      </c>
      <c r="E62" s="36">
        <v>3</v>
      </c>
      <c r="F62" s="28" t="s">
        <v>56</v>
      </c>
      <c r="G62" s="24" t="s">
        <v>270</v>
      </c>
    </row>
    <row r="63" spans="1:7" ht="18" customHeight="1" x14ac:dyDescent="0.2">
      <c r="A63" s="21" t="s">
        <v>285</v>
      </c>
      <c r="B63" s="21" t="s">
        <v>214</v>
      </c>
      <c r="C63" s="32" t="s">
        <v>169</v>
      </c>
      <c r="D63" s="28" t="s">
        <v>265</v>
      </c>
      <c r="E63" s="36">
        <v>3</v>
      </c>
      <c r="F63" s="28" t="s">
        <v>56</v>
      </c>
      <c r="G63" s="21" t="s">
        <v>286</v>
      </c>
    </row>
    <row r="64" spans="1:7" ht="18" customHeight="1" x14ac:dyDescent="0.2">
      <c r="A64" s="24" t="s">
        <v>287</v>
      </c>
      <c r="B64" s="24" t="s">
        <v>168</v>
      </c>
      <c r="C64" s="34" t="s">
        <v>169</v>
      </c>
      <c r="D64" s="28" t="s">
        <v>265</v>
      </c>
      <c r="E64" s="36">
        <v>3</v>
      </c>
      <c r="F64" s="28" t="s">
        <v>56</v>
      </c>
      <c r="G64" s="24" t="s">
        <v>270</v>
      </c>
    </row>
    <row r="65" spans="1:7" ht="18" customHeight="1" x14ac:dyDescent="0.2">
      <c r="A65" s="21" t="s">
        <v>288</v>
      </c>
      <c r="B65" s="21" t="s">
        <v>214</v>
      </c>
      <c r="C65" s="32" t="s">
        <v>169</v>
      </c>
      <c r="D65" s="28" t="s">
        <v>265</v>
      </c>
      <c r="E65" s="36">
        <v>3</v>
      </c>
      <c r="F65" s="28" t="s">
        <v>56</v>
      </c>
      <c r="G65" s="21" t="s">
        <v>270</v>
      </c>
    </row>
    <row r="66" spans="1:7" ht="18" customHeight="1" x14ac:dyDescent="0.2">
      <c r="A66" s="24" t="s">
        <v>289</v>
      </c>
      <c r="B66" s="24" t="s">
        <v>214</v>
      </c>
      <c r="C66" s="34" t="s">
        <v>169</v>
      </c>
      <c r="D66" s="28" t="s">
        <v>265</v>
      </c>
      <c r="E66" s="36">
        <v>3</v>
      </c>
      <c r="F66" s="28" t="s">
        <v>56</v>
      </c>
      <c r="G66" s="24" t="s">
        <v>290</v>
      </c>
    </row>
    <row r="67" spans="1:7" ht="18" customHeight="1" x14ac:dyDescent="0.2">
      <c r="A67" s="21" t="s">
        <v>291</v>
      </c>
      <c r="B67" s="21" t="s">
        <v>214</v>
      </c>
      <c r="C67" s="32" t="s">
        <v>292</v>
      </c>
      <c r="D67" s="28" t="s">
        <v>265</v>
      </c>
      <c r="E67" s="36">
        <v>3</v>
      </c>
      <c r="F67" s="28" t="s">
        <v>56</v>
      </c>
      <c r="G67" s="21" t="s">
        <v>293</v>
      </c>
    </row>
    <row r="68" spans="1:7" ht="18" customHeight="1" x14ac:dyDescent="0.2">
      <c r="A68" s="24" t="s">
        <v>294</v>
      </c>
      <c r="B68" s="24" t="s">
        <v>214</v>
      </c>
      <c r="C68" s="34" t="s">
        <v>169</v>
      </c>
      <c r="D68" s="28" t="s">
        <v>265</v>
      </c>
      <c r="E68" s="36">
        <v>3</v>
      </c>
      <c r="F68" s="28" t="s">
        <v>56</v>
      </c>
      <c r="G68" s="24" t="s">
        <v>270</v>
      </c>
    </row>
    <row r="69" spans="1:7" ht="18" customHeight="1" x14ac:dyDescent="0.2">
      <c r="A69" s="21" t="s">
        <v>295</v>
      </c>
      <c r="B69" s="21" t="s">
        <v>173</v>
      </c>
      <c r="C69" s="32" t="s">
        <v>169</v>
      </c>
      <c r="D69" s="28" t="s">
        <v>265</v>
      </c>
      <c r="E69" s="36">
        <v>3</v>
      </c>
      <c r="F69" s="28" t="s">
        <v>56</v>
      </c>
      <c r="G69" s="21" t="s">
        <v>296</v>
      </c>
    </row>
    <row r="70" spans="1:7" ht="18" customHeight="1" x14ac:dyDescent="0.2">
      <c r="A70" s="24" t="s">
        <v>297</v>
      </c>
      <c r="B70" s="24" t="s">
        <v>168</v>
      </c>
      <c r="C70" s="34" t="s">
        <v>169</v>
      </c>
      <c r="D70" s="28" t="s">
        <v>265</v>
      </c>
      <c r="E70" s="36">
        <v>3</v>
      </c>
      <c r="F70" s="28" t="s">
        <v>56</v>
      </c>
      <c r="G70" s="24" t="s">
        <v>270</v>
      </c>
    </row>
    <row r="71" spans="1:7" ht="18" customHeight="1" x14ac:dyDescent="0.2">
      <c r="A71" s="21" t="s">
        <v>298</v>
      </c>
      <c r="B71" s="21" t="s">
        <v>209</v>
      </c>
      <c r="C71" s="32" t="s">
        <v>169</v>
      </c>
      <c r="D71" s="28" t="s">
        <v>265</v>
      </c>
      <c r="E71" s="36">
        <v>3</v>
      </c>
      <c r="F71" s="28" t="s">
        <v>56</v>
      </c>
      <c r="G71" s="21" t="s">
        <v>293</v>
      </c>
    </row>
    <row r="72" spans="1:7" ht="18" customHeight="1" x14ac:dyDescent="0.2">
      <c r="A72" s="24" t="s">
        <v>299</v>
      </c>
      <c r="B72" s="24" t="s">
        <v>173</v>
      </c>
      <c r="C72" s="34" t="s">
        <v>169</v>
      </c>
      <c r="D72" s="28" t="s">
        <v>265</v>
      </c>
      <c r="E72" s="36">
        <v>3</v>
      </c>
      <c r="F72" s="28" t="s">
        <v>56</v>
      </c>
      <c r="G72" s="24" t="s">
        <v>300</v>
      </c>
    </row>
    <row r="73" spans="1:7" ht="18" customHeight="1" x14ac:dyDescent="0.2">
      <c r="A73" s="21" t="s">
        <v>301</v>
      </c>
      <c r="B73" s="21" t="s">
        <v>214</v>
      </c>
      <c r="C73" s="32" t="s">
        <v>169</v>
      </c>
      <c r="D73" s="28" t="s">
        <v>265</v>
      </c>
      <c r="E73" s="36">
        <v>3</v>
      </c>
      <c r="F73" s="28" t="s">
        <v>56</v>
      </c>
      <c r="G73" s="21" t="s">
        <v>270</v>
      </c>
    </row>
    <row r="74" spans="1:7" ht="18" customHeight="1" x14ac:dyDescent="0.2">
      <c r="A74" s="24" t="s">
        <v>302</v>
      </c>
      <c r="B74" s="24" t="s">
        <v>168</v>
      </c>
      <c r="C74" s="34" t="s">
        <v>292</v>
      </c>
      <c r="D74" s="30" t="s">
        <v>303</v>
      </c>
      <c r="E74" s="37">
        <v>4</v>
      </c>
      <c r="F74" s="30" t="s">
        <v>60</v>
      </c>
      <c r="G74" s="24" t="s">
        <v>304</v>
      </c>
    </row>
    <row r="75" spans="1:7" ht="18" customHeight="1" x14ac:dyDescent="0.2">
      <c r="A75" s="21" t="s">
        <v>305</v>
      </c>
      <c r="B75" s="21" t="s">
        <v>209</v>
      </c>
      <c r="C75" s="32" t="s">
        <v>292</v>
      </c>
      <c r="D75" s="30" t="s">
        <v>303</v>
      </c>
      <c r="E75" s="37">
        <v>4</v>
      </c>
      <c r="F75" s="30" t="s">
        <v>60</v>
      </c>
      <c r="G75" s="21" t="s">
        <v>306</v>
      </c>
    </row>
    <row r="76" spans="1:7" ht="18" customHeight="1" x14ac:dyDescent="0.2">
      <c r="A76" s="24" t="s">
        <v>307</v>
      </c>
      <c r="B76" s="24" t="s">
        <v>168</v>
      </c>
      <c r="C76" s="34" t="s">
        <v>292</v>
      </c>
      <c r="D76" s="30" t="s">
        <v>303</v>
      </c>
      <c r="E76" s="37">
        <v>4</v>
      </c>
      <c r="F76" s="30" t="s">
        <v>60</v>
      </c>
      <c r="G76" s="24" t="s">
        <v>308</v>
      </c>
    </row>
    <row r="77" spans="1:7" ht="18" customHeight="1" x14ac:dyDescent="0.2">
      <c r="A77" s="21" t="s">
        <v>309</v>
      </c>
      <c r="B77" s="21" t="s">
        <v>168</v>
      </c>
      <c r="C77" s="32" t="s">
        <v>292</v>
      </c>
      <c r="D77" s="30" t="s">
        <v>303</v>
      </c>
      <c r="E77" s="37">
        <v>4</v>
      </c>
      <c r="F77" s="30" t="s">
        <v>60</v>
      </c>
      <c r="G77" s="21" t="s">
        <v>310</v>
      </c>
    </row>
    <row r="78" spans="1:7" ht="18" customHeight="1" x14ac:dyDescent="0.2">
      <c r="A78" s="24" t="s">
        <v>311</v>
      </c>
      <c r="B78" s="24" t="s">
        <v>249</v>
      </c>
      <c r="C78" s="34" t="s">
        <v>292</v>
      </c>
      <c r="D78" s="30" t="s">
        <v>312</v>
      </c>
      <c r="E78" s="37">
        <v>4</v>
      </c>
      <c r="F78" s="30" t="s">
        <v>60</v>
      </c>
      <c r="G78" s="24" t="s">
        <v>313</v>
      </c>
    </row>
    <row r="79" spans="1:7" ht="18" customHeight="1" x14ac:dyDescent="0.2">
      <c r="A79" s="21" t="s">
        <v>314</v>
      </c>
      <c r="B79" s="21" t="s">
        <v>175</v>
      </c>
      <c r="C79" s="32" t="s">
        <v>292</v>
      </c>
      <c r="D79" s="30" t="s">
        <v>315</v>
      </c>
      <c r="E79" s="37">
        <v>4</v>
      </c>
      <c r="F79" s="30" t="s">
        <v>60</v>
      </c>
      <c r="G79" s="21" t="s">
        <v>316</v>
      </c>
    </row>
    <row r="80" spans="1:7" ht="18" customHeight="1" x14ac:dyDescent="0.2">
      <c r="A80" s="24" t="s">
        <v>317</v>
      </c>
      <c r="B80" s="24" t="s">
        <v>209</v>
      </c>
      <c r="C80" s="34" t="s">
        <v>292</v>
      </c>
      <c r="D80" s="30" t="s">
        <v>315</v>
      </c>
      <c r="E80" s="37">
        <v>4</v>
      </c>
      <c r="F80" s="30" t="s">
        <v>60</v>
      </c>
      <c r="G80" s="24" t="s">
        <v>318</v>
      </c>
    </row>
    <row r="81" spans="1:7" ht="18" customHeight="1" x14ac:dyDescent="0.2">
      <c r="A81" s="21" t="s">
        <v>319</v>
      </c>
      <c r="B81" s="21" t="s">
        <v>173</v>
      </c>
      <c r="C81" s="32" t="s">
        <v>292</v>
      </c>
      <c r="D81" s="30" t="s">
        <v>315</v>
      </c>
      <c r="E81" s="37">
        <v>4</v>
      </c>
      <c r="F81" s="30" t="s">
        <v>60</v>
      </c>
      <c r="G81" s="21" t="s">
        <v>320</v>
      </c>
    </row>
    <row r="82" spans="1:7" ht="18" customHeight="1" x14ac:dyDescent="0.2">
      <c r="A82" s="24" t="s">
        <v>321</v>
      </c>
      <c r="B82" s="24" t="s">
        <v>214</v>
      </c>
      <c r="C82" s="34" t="s">
        <v>169</v>
      </c>
      <c r="D82" s="23" t="s">
        <v>170</v>
      </c>
      <c r="E82" s="36">
        <v>3</v>
      </c>
      <c r="F82" s="28" t="s">
        <v>56</v>
      </c>
      <c r="G82" s="24" t="s">
        <v>322</v>
      </c>
    </row>
    <row r="83" spans="1:7" ht="18" customHeight="1" x14ac:dyDescent="0.2">
      <c r="A83" s="21" t="s">
        <v>323</v>
      </c>
      <c r="B83" s="21" t="s">
        <v>168</v>
      </c>
      <c r="C83" s="32" t="s">
        <v>169</v>
      </c>
      <c r="D83" s="23" t="s">
        <v>170</v>
      </c>
      <c r="E83" s="36">
        <v>3</v>
      </c>
      <c r="F83" s="28" t="s">
        <v>56</v>
      </c>
      <c r="G83" s="21" t="s">
        <v>324</v>
      </c>
    </row>
    <row r="85" spans="1:7" ht="30" customHeight="1" x14ac:dyDescent="0.2">
      <c r="A85" s="39" t="s">
        <v>325</v>
      </c>
      <c r="B85" s="39"/>
      <c r="C85" s="39"/>
      <c r="D85" s="39"/>
      <c r="E85" s="39"/>
      <c r="F85" s="39"/>
      <c r="G85" s="39"/>
    </row>
  </sheetData>
  <mergeCells count="2">
    <mergeCell ref="A1:G1"/>
    <mergeCell ref="A85:G85"/>
  </mergeCell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36"/>
  <sheetViews>
    <sheetView showGridLines="0" zoomScaleNormal="100" workbookViewId="0"/>
  </sheetViews>
  <sheetFormatPr baseColWidth="10" defaultColWidth="8.6640625" defaultRowHeight="15" customHeight="1" x14ac:dyDescent="0.2"/>
  <cols>
    <col min="1" max="1" width="28" customWidth="1"/>
    <col min="2" max="2" width="70" customWidth="1"/>
  </cols>
  <sheetData>
    <row r="1" spans="1:2" ht="36" customHeight="1" x14ac:dyDescent="0.2">
      <c r="A1" s="49" t="s">
        <v>326</v>
      </c>
      <c r="B1" s="49"/>
    </row>
    <row r="2" spans="1:2" ht="18" customHeight="1" x14ac:dyDescent="0.2">
      <c r="A2" s="46" t="s">
        <v>327</v>
      </c>
      <c r="B2" s="46"/>
    </row>
    <row r="4" spans="1:2" ht="19.5" customHeight="1" x14ac:dyDescent="0.2">
      <c r="A4" s="43" t="s">
        <v>328</v>
      </c>
      <c r="B4" s="43"/>
    </row>
    <row r="5" spans="1:2" ht="39.75" customHeight="1" x14ac:dyDescent="0.2">
      <c r="A5" s="48" t="s">
        <v>329</v>
      </c>
      <c r="B5" s="48"/>
    </row>
    <row r="6" spans="1:2" ht="6" customHeight="1" x14ac:dyDescent="0.2"/>
    <row r="7" spans="1:2" ht="19.5" customHeight="1" x14ac:dyDescent="0.2">
      <c r="A7" s="43" t="s">
        <v>330</v>
      </c>
      <c r="B7" s="43"/>
    </row>
    <row r="8" spans="1:2" ht="39.75" customHeight="1" x14ac:dyDescent="0.2">
      <c r="A8" s="48" t="s">
        <v>331</v>
      </c>
      <c r="B8" s="48"/>
    </row>
    <row r="9" spans="1:2" ht="6" customHeight="1" x14ac:dyDescent="0.2"/>
    <row r="10" spans="1:2" ht="19.5" customHeight="1" x14ac:dyDescent="0.2">
      <c r="A10" s="43" t="s">
        <v>332</v>
      </c>
      <c r="B10" s="43"/>
    </row>
    <row r="11" spans="1:2" ht="91.5" customHeight="1" x14ac:dyDescent="0.2">
      <c r="A11" s="48" t="s">
        <v>333</v>
      </c>
      <c r="B11" s="48"/>
    </row>
    <row r="12" spans="1:2" ht="6" customHeight="1" x14ac:dyDescent="0.2"/>
    <row r="13" spans="1:2" ht="19.5" customHeight="1" x14ac:dyDescent="0.2">
      <c r="A13" s="43" t="s">
        <v>334</v>
      </c>
      <c r="B13" s="43"/>
    </row>
    <row r="14" spans="1:2" ht="109.5" customHeight="1" x14ac:dyDescent="0.2">
      <c r="A14" s="48" t="s">
        <v>335</v>
      </c>
      <c r="B14" s="48"/>
    </row>
    <row r="15" spans="1:2" ht="6" customHeight="1" x14ac:dyDescent="0.2"/>
    <row r="16" spans="1:2" ht="19.5" customHeight="1" x14ac:dyDescent="0.2">
      <c r="A16" s="43" t="s">
        <v>336</v>
      </c>
      <c r="B16" s="43"/>
    </row>
    <row r="17" spans="1:2" ht="55.5" customHeight="1" x14ac:dyDescent="0.2">
      <c r="A17" s="48" t="s">
        <v>337</v>
      </c>
      <c r="B17" s="48"/>
    </row>
    <row r="18" spans="1:2" ht="6" customHeight="1" x14ac:dyDescent="0.2"/>
    <row r="19" spans="1:2" ht="19.5" customHeight="1" x14ac:dyDescent="0.2">
      <c r="A19" s="43" t="s">
        <v>338</v>
      </c>
      <c r="B19" s="43"/>
    </row>
    <row r="20" spans="1:2" ht="55.5" customHeight="1" x14ac:dyDescent="0.2">
      <c r="A20" s="48" t="s">
        <v>339</v>
      </c>
      <c r="B20" s="48"/>
    </row>
    <row r="21" spans="1:2" ht="6" customHeight="1" x14ac:dyDescent="0.2"/>
    <row r="22" spans="1:2" ht="19.5" customHeight="1" x14ac:dyDescent="0.2">
      <c r="A22" s="43" t="s">
        <v>340</v>
      </c>
      <c r="B22" s="43"/>
    </row>
    <row r="23" spans="1:2" ht="91.5" customHeight="1" x14ac:dyDescent="0.2">
      <c r="A23" s="48" t="s">
        <v>341</v>
      </c>
      <c r="B23" s="48"/>
    </row>
    <row r="24" spans="1:2" ht="6" customHeight="1" x14ac:dyDescent="0.2"/>
    <row r="25" spans="1:2" ht="19.5" customHeight="1" x14ac:dyDescent="0.2">
      <c r="A25" s="43" t="s">
        <v>342</v>
      </c>
      <c r="B25" s="43"/>
    </row>
    <row r="26" spans="1:2" ht="55.5" customHeight="1" x14ac:dyDescent="0.2">
      <c r="A26" s="48" t="s">
        <v>343</v>
      </c>
      <c r="B26" s="48"/>
    </row>
    <row r="27" spans="1:2" ht="6" customHeight="1" x14ac:dyDescent="0.2"/>
    <row r="28" spans="1:2" ht="19.5" customHeight="1" x14ac:dyDescent="0.2">
      <c r="A28" s="43" t="s">
        <v>344</v>
      </c>
      <c r="B28" s="43"/>
    </row>
    <row r="29" spans="1:2" ht="109.5" customHeight="1" x14ac:dyDescent="0.2">
      <c r="A29" s="48" t="s">
        <v>345</v>
      </c>
      <c r="B29" s="48"/>
    </row>
    <row r="30" spans="1:2" ht="6" customHeight="1" x14ac:dyDescent="0.2"/>
    <row r="31" spans="1:2" ht="19.5" customHeight="1" x14ac:dyDescent="0.2">
      <c r="A31" s="43" t="s">
        <v>346</v>
      </c>
      <c r="B31" s="43"/>
    </row>
    <row r="32" spans="1:2" ht="91.5" customHeight="1" x14ac:dyDescent="0.2">
      <c r="A32" s="48" t="s">
        <v>347</v>
      </c>
      <c r="B32" s="48"/>
    </row>
    <row r="33" spans="1:2" ht="6" customHeight="1" x14ac:dyDescent="0.2"/>
    <row r="34" spans="1:2" ht="19.5" customHeight="1" x14ac:dyDescent="0.2">
      <c r="A34" s="43" t="s">
        <v>348</v>
      </c>
      <c r="B34" s="43"/>
    </row>
    <row r="35" spans="1:2" ht="55.5" customHeight="1" x14ac:dyDescent="0.2">
      <c r="A35" s="48" t="s">
        <v>349</v>
      </c>
      <c r="B35" s="48"/>
    </row>
    <row r="36" spans="1:2" ht="6" customHeight="1" x14ac:dyDescent="0.2"/>
  </sheetData>
  <mergeCells count="24">
    <mergeCell ref="A1:B1"/>
    <mergeCell ref="A2:B2"/>
    <mergeCell ref="A4:B4"/>
    <mergeCell ref="A5:B5"/>
    <mergeCell ref="A7:B7"/>
    <mergeCell ref="A8:B8"/>
    <mergeCell ref="A10:B10"/>
    <mergeCell ref="A11:B11"/>
    <mergeCell ref="A13:B13"/>
    <mergeCell ref="A14:B14"/>
    <mergeCell ref="A16:B16"/>
    <mergeCell ref="A17:B17"/>
    <mergeCell ref="A19:B19"/>
    <mergeCell ref="A20:B20"/>
    <mergeCell ref="A22:B22"/>
    <mergeCell ref="A31:B31"/>
    <mergeCell ref="A32:B32"/>
    <mergeCell ref="A34:B34"/>
    <mergeCell ref="A35:B35"/>
    <mergeCell ref="A23:B23"/>
    <mergeCell ref="A25:B25"/>
    <mergeCell ref="A26:B26"/>
    <mergeCell ref="A28:B28"/>
    <mergeCell ref="A29:B29"/>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Risk Scoring Calculator</vt:lpstr>
      <vt:lpstr>Score Reference</vt:lpstr>
      <vt:lpstr>Country Risk Reference</vt:lpstr>
      <vt:lpstr>Methodology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Aisha Sudally</cp:lastModifiedBy>
  <cp:revision>0</cp:revision>
  <dcterms:created xsi:type="dcterms:W3CDTF">2026-03-12T07:32:30Z</dcterms:created>
  <dcterms:modified xsi:type="dcterms:W3CDTF">2026-03-12T09:23:18Z</dcterms:modified>
  <dc:language>en-US</dc:language>
</cp:coreProperties>
</file>