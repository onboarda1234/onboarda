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sk Scoring Calculator" sheetId="1" state="visible" r:id="rId3"/>
    <sheet name="Score Reference" sheetId="2" state="visible" r:id="rId4"/>
    <sheet name="Country Risk Reference" sheetId="3" state="visible" r:id="rId5"/>
    <sheet name="AI Verification Checks" sheetId="4" state="visible" r:id="rId6"/>
    <sheet name="AI Agent Registry" sheetId="5" state="visible" r:id="rId7"/>
    <sheet name="Methodolog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<sst xmlns="http://schemas.openxmlformats.org/spreadsheetml/2006/main" count="1235" uniqueCount="665">
  <si>
    <t xml:space="preserve">ARIE FINANCE LTD  —  CLIENT RISK SCORING MODEL</t>
  </si>
  <si>
    <t xml:space="preserve">AML / CFT Risk Assessment Framework  |  Based on FATF Risk-Based Approach (Banking Sector)</t>
  </si>
  <si>
    <t xml:space="preserve">Client / Entity Name:</t>
  </si>
  <si>
    <t xml:space="preserve">Application Reference:</t>
  </si>
  <si>
    <t xml:space="preserve">Assessment Date:</t>
  </si>
  <si>
    <t xml:space="preserve">12 March 2026</t>
  </si>
  <si>
    <t xml:space="preserve">Assessed By:</t>
  </si>
  <si>
    <t xml:space="preserve">RISK FACTOR</t>
  </si>
  <si>
    <t xml:space="preserve">SELECTION</t>
  </si>
  <si>
    <t xml:space="preserve">SCORE (1–4)</t>
  </si>
  <si>
    <t xml:space="preserve">SUB-FACTOR WEIGHT</t>
  </si>
  <si>
    <t xml:space="preserve">WEIGHTED SCORE</t>
  </si>
  <si>
    <t xml:space="preserve">  DIMENSION 1: CUSTOMER / ENTITY RISK    |    Dimension Weight: 30%</t>
  </si>
  <si>
    <t xml:space="preserve">1.1   Entity Type</t>
  </si>
  <si>
    <t xml:space="preserve">Trust / Foundation / Fund Structure</t>
  </si>
  <si>
    <t xml:space="preserve">1.2   Ownership Structure</t>
  </si>
  <si>
    <t xml:space="preserve">Simple — direct identifiable UBOs</t>
  </si>
  <si>
    <t xml:space="preserve">1.3   PEP Status</t>
  </si>
  <si>
    <t xml:space="preserve">No PEP connection</t>
  </si>
  <si>
    <t xml:space="preserve">1.4   Adverse Media / Negative News</t>
  </si>
  <si>
    <t xml:space="preserve">Minor or unsubstantiated reports</t>
  </si>
  <si>
    <t xml:space="preserve">1.5   Source of Wealth</t>
  </si>
  <si>
    <t xml:space="preserve">Sale of assets / property</t>
  </si>
  <si>
    <t xml:space="preserve">1.6   Initial Source of Funds</t>
  </si>
  <si>
    <t xml:space="preserve">Revenue from business operations</t>
  </si>
  <si>
    <t xml:space="preserve">  DIMENSION 1 SCORE</t>
  </si>
  <si>
    <t xml:space="preserve">Dimension Score (1–4)</t>
  </si>
  <si>
    <t xml:space="preserve">  DIMENSION 2: GEOGRAPHIC RISK    |    Dimension Weight: 25%</t>
  </si>
  <si>
    <t xml:space="preserve">2.1   Country of Incorporation</t>
  </si>
  <si>
    <t xml:space="preserve">FATF member — low risk jurisdiction</t>
  </si>
  <si>
    <t xml:space="preserve">2.2   Countries of Operation</t>
  </si>
  <si>
    <t xml:space="preserve">2.3   Target Markets / Payment Corridors</t>
  </si>
  <si>
    <t xml:space="preserve">  DIMENSION 2 SCORE</t>
  </si>
  <si>
    <t xml:space="preserve">  DIMENSION 3: PRODUCT / SERVICE RISK    |    Dimension Weight: 20%</t>
  </si>
  <si>
    <t xml:space="preserve">3.1   Primary Service Required</t>
  </si>
  <si>
    <t xml:space="preserve">3.2   Expected Monthly Transaction Volume</t>
  </si>
  <si>
    <t xml:space="preserve">3.3   Transaction Complexity &amp; Corridors</t>
  </si>
  <si>
    <t xml:space="preserve">  DIMENSION 3 SCORE</t>
  </si>
  <si>
    <t xml:space="preserve">  DIMENSION 4: INDUSTRY / SECTOR RISK    |    Dimension Weight: 15%</t>
  </si>
  <si>
    <t xml:space="preserve">4.1   Business Sector / Industry</t>
  </si>
  <si>
    <t xml:space="preserve">  DIMENSION 4 SCORE</t>
  </si>
  <si>
    <t xml:space="preserve">  DIMENSION 5: DELIVERY CHANNEL RISK    |    Dimension Weight: 10%</t>
  </si>
  <si>
    <t xml:space="preserve">5.1   Introduction / Referral Method</t>
  </si>
  <si>
    <t xml:space="preserve">5.2   Customer Interaction Type</t>
  </si>
  <si>
    <t xml:space="preserve">  DIMENSION 5 SCORE</t>
  </si>
  <si>
    <t xml:space="preserve">  OVERALL RISK ASSESSMENT</t>
  </si>
  <si>
    <t xml:space="preserve">  WEIGHTED COMPOSITE SCORE</t>
  </si>
  <si>
    <t xml:space="preserve">Normalised score out of 100</t>
  </si>
  <si>
    <t xml:space="preserve">  RISK RATING</t>
  </si>
  <si>
    <t xml:space="preserve">Low (0–39)  |  Medium (40–69)  |  High (70–100)</t>
  </si>
  <si>
    <t xml:space="preserve">  DUE DILIGENCE REQUIREMENT</t>
  </si>
  <si>
    <t xml:space="preserve">  COMPLIANCE APPROVAL FLAG</t>
  </si>
  <si>
    <t xml:space="preserve">Source: ARIE Finance Ltd — AML/CFT Risk Scoring Model v1.3  |  FATF Risk-Based Approach (Banking Sector) Guidance  |  Last Updated: March 2026</t>
  </si>
  <si>
    <t xml:space="preserve">ARIE FINANCE LTD — SCORE REFERENCE DATA</t>
  </si>
  <si>
    <t xml:space="preserve">1.1  Entity Type</t>
  </si>
  <si>
    <t xml:space="preserve">Listed Company on Regulated Exchange</t>
  </si>
  <si>
    <t xml:space="preserve">Low Risk</t>
  </si>
  <si>
    <t xml:space="preserve">Regulated Financial Institution</t>
  </si>
  <si>
    <t xml:space="preserve">Government / Public Sector Entity</t>
  </si>
  <si>
    <t xml:space="preserve">Large Private Company (revenue &gt; USD 10m)</t>
  </si>
  <si>
    <t xml:space="preserve">Medium Risk</t>
  </si>
  <si>
    <t xml:space="preserve">SME / Private Company</t>
  </si>
  <si>
    <t xml:space="preserve">Newly Incorporated Company (&lt; 1 year)</t>
  </si>
  <si>
    <t xml:space="preserve">High Risk</t>
  </si>
  <si>
    <t xml:space="preserve">Non-Profit Organisation / NGO</t>
  </si>
  <si>
    <t xml:space="preserve">Shell Company / Special Purpose Vehicle</t>
  </si>
  <si>
    <t xml:space="preserve">Very High Risk</t>
  </si>
  <si>
    <t xml:space="preserve">1.2  Ownership Structure</t>
  </si>
  <si>
    <t xml:space="preserve">1–2 ownership layers</t>
  </si>
  <si>
    <t xml:space="preserve">3+ ownership layers / nominee shareholders</t>
  </si>
  <si>
    <t xml:space="preserve">Complex multi-jurisdiction / opaque structure</t>
  </si>
  <si>
    <t xml:space="preserve">1.3  PEP Status</t>
  </si>
  <si>
    <t xml:space="preserve">Close associate or family member of PEP</t>
  </si>
  <si>
    <t xml:space="preserve">Domestic Politically Exposed Person (PEP)</t>
  </si>
  <si>
    <t xml:space="preserve">Foreign / International PEP</t>
  </si>
  <si>
    <t xml:space="preserve">1.4  Adverse Media / Negative News</t>
  </si>
  <si>
    <t xml:space="preserve">No adverse media identified</t>
  </si>
  <si>
    <t xml:space="preserve">Confirmed adverse media / regulatory action</t>
  </si>
  <si>
    <t xml:space="preserve">2.1  Country of Incorporation</t>
  </si>
  <si>
    <t xml:space="preserve">FATF member — standard / emerging jurisdiction</t>
  </si>
  <si>
    <t xml:space="preserve">FATF Grey List country</t>
  </si>
  <si>
    <t xml:space="preserve">FATF Black List / sanctioned country</t>
  </si>
  <si>
    <t xml:space="preserve">2.2  Countries of Operation</t>
  </si>
  <si>
    <t xml:space="preserve">All low-risk jurisdictions</t>
  </si>
  <si>
    <t xml:space="preserve">Predominantly low-risk with some medium-risk jurisdictions</t>
  </si>
  <si>
    <t xml:space="preserve">Includes high-risk jurisdictions</t>
  </si>
  <si>
    <t xml:space="preserve">Predominantly high-risk or sanctioned jurisdictions</t>
  </si>
  <si>
    <t xml:space="preserve">2.3  Target Markets / Payment Corridors</t>
  </si>
  <si>
    <t xml:space="preserve">Developed markets only</t>
  </si>
  <si>
    <t xml:space="preserve">Mix of developed and emerging markets</t>
  </si>
  <si>
    <t xml:space="preserve">Predominantly emerging / frontier markets</t>
  </si>
  <si>
    <t xml:space="preserve">Includes sanctioned or very high-risk markets</t>
  </si>
  <si>
    <t xml:space="preserve">3.1  Primary Service Required</t>
  </si>
  <si>
    <t xml:space="preserve">Domestic payments only (single currency)</t>
  </si>
  <si>
    <t xml:space="preserve">Multi-currency corporate accounts</t>
  </si>
  <si>
    <t xml:space="preserve">Cross-border international transfers</t>
  </si>
  <si>
    <t xml:space="preserve">3.2  Expected Monthly Transaction Volume</t>
  </si>
  <si>
    <t xml:space="preserve">Under USD 50,000 per month</t>
  </si>
  <si>
    <t xml:space="preserve">USD 50,000 to USD 500,000 per month</t>
  </si>
  <si>
    <t xml:space="preserve">USD 500,000 to USD 5,000,000 per month</t>
  </si>
  <si>
    <t xml:space="preserve">Over USD 5,000,000 per month</t>
  </si>
  <si>
    <t xml:space="preserve">3.3  Transaction Complexity &amp; Corridors</t>
  </si>
  <si>
    <t xml:space="preserve">Simple — single currency, domestic corridors</t>
  </si>
  <si>
    <t xml:space="preserve">Standard — multi-currency, low-risk corridors</t>
  </si>
  <si>
    <t xml:space="preserve">Complex — multiple international corridors</t>
  </si>
  <si>
    <t xml:space="preserve">Very complex — includes high-risk corridors</t>
  </si>
  <si>
    <t xml:space="preserve">4.1  Business Sector / Industry</t>
  </si>
  <si>
    <t xml:space="preserve">Regulated Financial Institution / Bank</t>
  </si>
  <si>
    <t xml:space="preserve">Government / Public Sector</t>
  </si>
  <si>
    <t xml:space="preserve">Listed Company — Main Board</t>
  </si>
  <si>
    <t xml:space="preserve">Healthcare / Pharmaceuticals</t>
  </si>
  <si>
    <t xml:space="preserve">Technology / Software / SaaS</t>
  </si>
  <si>
    <t xml:space="preserve">Manufacturing / Industrial</t>
  </si>
  <si>
    <t xml:space="preserve">Retail / E-commerce</t>
  </si>
  <si>
    <t xml:space="preserve">Hospitality / Tourism / Travel</t>
  </si>
  <si>
    <t xml:space="preserve">Logistics / Supply Chain / Shipping</t>
  </si>
  <si>
    <t xml:space="preserve">Education / Training</t>
  </si>
  <si>
    <t xml:space="preserve">Media / Entertainment / Publishing</t>
  </si>
  <si>
    <t xml:space="preserve">Import / Export / International Trade</t>
  </si>
  <si>
    <t xml:space="preserve">Real Estate / Property</t>
  </si>
  <si>
    <t xml:space="preserve">Legal / Accounting / Advisory Services</t>
  </si>
  <si>
    <t xml:space="preserve">Money Service Business (MSB) / Remittance</t>
  </si>
  <si>
    <t xml:space="preserve">Forex / CFD / Derivatives Broker</t>
  </si>
  <si>
    <t xml:space="preserve">Private Banking / Wealth Management</t>
  </si>
  <si>
    <t xml:space="preserve">Precious Metals / Stones / Jewellery</t>
  </si>
  <si>
    <t xml:space="preserve">Non-Profit Organisation / NGO / Charity</t>
  </si>
  <si>
    <t xml:space="preserve">Oil &amp; Gas / Mining / Extractives</t>
  </si>
  <si>
    <t xml:space="preserve">Construction / Infrastructure</t>
  </si>
  <si>
    <t xml:space="preserve">Cryptocurrency / Virtual Asset Services</t>
  </si>
  <si>
    <t xml:space="preserve">Gambling / Gaming / Betting</t>
  </si>
  <si>
    <t xml:space="preserve">Arms / Defence / Military Equipment</t>
  </si>
  <si>
    <t xml:space="preserve">Adult Entertainment</t>
  </si>
  <si>
    <t xml:space="preserve">Shell Company / Nominee Services</t>
  </si>
  <si>
    <t xml:space="preserve">5.1  Introduction / Referral Method</t>
  </si>
  <si>
    <t xml:space="preserve">Direct application — client initiated</t>
  </si>
  <si>
    <t xml:space="preserve">Introduced by regulated intermediary / agent</t>
  </si>
  <si>
    <t xml:space="preserve">Introduced by non-regulated intermediary</t>
  </si>
  <si>
    <t xml:space="preserve">Unsolicited / unknown referral source</t>
  </si>
  <si>
    <t xml:space="preserve">5.2  Customer Interaction Type</t>
  </si>
  <si>
    <t xml:space="preserve">In-person face-to-face meeting conducted</t>
  </si>
  <si>
    <t xml:space="preserve">Video KYC / video call conducted</t>
  </si>
  <si>
    <t xml:space="preserve">Non-face-to-face — low-risk jurisdiction</t>
  </si>
  <si>
    <t xml:space="preserve">Non-face-to-face — high-risk jurisdiction</t>
  </si>
  <si>
    <t xml:space="preserve">1.5  Source of Wealth</t>
  </si>
  <si>
    <t xml:space="preserve">Business revenue / trading profits</t>
  </si>
  <si>
    <t xml:space="preserve">Investment returns / dividends</t>
  </si>
  <si>
    <t xml:space="preserve">Venture capital / investor funding</t>
  </si>
  <si>
    <t xml:space="preserve">Government funding / grants</t>
  </si>
  <si>
    <t xml:space="preserve">Inheritance / family wealth</t>
  </si>
  <si>
    <t xml:space="preserve">Loan / credit facility proceeds</t>
  </si>
  <si>
    <t xml:space="preserve">Other</t>
  </si>
  <si>
    <t xml:space="preserve">1.6  Initial Source of Funds</t>
  </si>
  <si>
    <t xml:space="preserve">Transfer from company bank account</t>
  </si>
  <si>
    <t xml:space="preserve">Parent company / group entity transfer</t>
  </si>
  <si>
    <t xml:space="preserve">Client payments / receivables</t>
  </si>
  <si>
    <t xml:space="preserve">Shareholder / director capital injection</t>
  </si>
  <si>
    <t xml:space="preserve">Investment round / fundraise proceeds</t>
  </si>
  <si>
    <t xml:space="preserve">Loan / credit facility drawdown</t>
  </si>
  <si>
    <t xml:space="preserve">GEOGRAPHIC RISK ASSESSMENT — SCORING METHODOLOGY</t>
  </si>
  <si>
    <t xml:space="preserve">2.2  Countries of Operation — How to Assess</t>
  </si>
  <si>
    <t xml:space="preserve">All low-risk jurisdictions (Score 1)</t>
  </si>
  <si>
    <t xml:space="preserve">Every country where the entity operates scores 1 (Low Risk) on the Country Risk Reference table. This means all countries are FATF members with Clear status, no grey/black list history, and no elevated sanctions risk (e.g., UK, Singapore, Australia, France).</t>
  </si>
  <si>
    <t xml:space="preserve">Predominantly low-risk with some medium-risk (Score 2)</t>
  </si>
  <si>
    <t xml:space="preserve">The majority of operating countries score 1 (Low Risk), but one or more countries score 2 (Medium Risk) on the Country Risk Reference table. No country scores 3 or 4. The medium-risk countries represent no more than 30% of the total countries of operation. Example: operates in UK, Germany, Singapore, and Mauritius — Mauritius scores 2, the rest score 1.</t>
  </si>
  <si>
    <t xml:space="preserve">Includes high-risk jurisdictions (Score 3)</t>
  </si>
  <si>
    <t xml:space="preserve">At least one country of operation scores 3 (High Risk) on the Country Risk Reference table — typically a FATF Grey List country (e.g., Nigeria, South Africa, Kenya, Philippines). OR more than 30% of operating countries score 2. No country scores 4. The presence of any single Grey List jurisdiction triggers this rating.</t>
  </si>
  <si>
    <t xml:space="preserve">Predominantly high-risk or sanctioned (Score 4)</t>
  </si>
  <si>
    <t xml:space="preserve">At least one country of operation scores 4 (Very High Risk) — a FATF Black List country, sanctioned jurisdiction, or suspended member (e.g., Iran, North Korea, Myanmar, Russia, Syria). OR more than 50% of operating countries score 3 or above. Any single sanctioned country triggers this rating regardless of other countries.</t>
  </si>
  <si>
    <t xml:space="preserve">2.3  Target Markets / Payment Corridors — How to Assess</t>
  </si>
  <si>
    <t xml:space="preserve">Developed markets only (Score 1)</t>
  </si>
  <si>
    <t xml:space="preserve">All target payment corridors involve countries classified as developed economies with mature financial regulatory frameworks. These are typically FATF member states scoring 1 on the Country Risk Reference table: G7 nations, EU/EEA members, Australia, New Zealand, Singapore, Hong Kong, Japan, South Korea. No payments flow to or from emerging or frontier markets.</t>
  </si>
  <si>
    <t xml:space="preserve">Mix of developed and emerging markets (Score 2)</t>
  </si>
  <si>
    <t xml:space="preserve">Payment corridors include both developed markets (score 1) and emerging markets scoring 2 on the Country Risk Reference table (e.g., Mauritius, UAE, India, Brazil, China, Saudi Arabia). No corridors involve Grey List, Black List, or sanctioned jurisdictions. The emerging market corridors may carry higher ML/TF risk due to less mature AML frameworks.</t>
  </si>
  <si>
    <t xml:space="preserve">Predominantly emerging / frontier markets (Score 3)</t>
  </si>
  <si>
    <t xml:space="preserve">The majority of payment corridors involve emerging or frontier markets, including countries scoring 2 or 3 on the Country Risk Reference table. May include FATF Grey List jurisdictions as target markets (e.g., Nigeria, Kenya, South Africa, Philippines). OR any single Grey List country appears as a payment corridor destination.</t>
  </si>
  <si>
    <t xml:space="preserve">Includes sanctioned or very high-risk markets (Score 4)</t>
  </si>
  <si>
    <t xml:space="preserve">At least one payment corridor involves a country scoring 4 (Very High Risk) on the Country Risk Reference table — FATF Black List, sanctioned, or suspended countries (Iran, North Korea, Myanmar, Russia, Syria, Belarus, Cuba). Any single sanctioned corridor triggers this rating. Payments to/from these jurisdictions may be prohibited under international sanctions regimes.</t>
  </si>
  <si>
    <t xml:space="preserve">GENERAL PRINCIPLE</t>
  </si>
  <si>
    <t xml:space="preserve">The 'highest risk dominates' rule applies: a single high-risk or sanctioned jurisdiction contaminates the overall geographic risk profile. When in doubt, assess conservatively (higher score). Use the Country Risk Reference sheet to look up individual country scores.</t>
  </si>
  <si>
    <t xml:space="preserve">ADVERSE MEDIA / NEGATIVE NEWS — SCORING DEFINITIONS</t>
  </si>
  <si>
    <t xml:space="preserve">No adverse media identified (Score 1 — Low Risk)</t>
  </si>
  <si>
    <t xml:space="preserve">No negative news, regulatory actions, sanctions hits, or adverse information found during screening. This means: (a) searches across global adverse media databases, sanctions lists, and public records return no results for the entity, its directors, UBOs, or connected parties; (b) no regulatory fines, enforcement actions, licence revocations, or supervisory warnings have been issued; (c) no litigation involving fraud, money laundering, corruption, tax evasion, or other financial crime. Screening must cover at a minimum: World-Check / Refinitiv, Dow Jones, OFAC/UN/EU sanctions, PEP databases, court records, and open-source news search.</t>
  </si>
  <si>
    <t xml:space="preserve">Minor or unsubstantiated reports (Score 2 — Medium Risk)</t>
  </si>
  <si>
    <t xml:space="preserve">Adverse media exists but is minor in nature or cannot be substantiated through official sources. This includes: (a) unverified allegations in local or online media with no regulatory follow-up; (b) historic negative coverage (typically 5+ years old) with no recurrence or pattern; (c) minor regulatory infractions that have been resolved (e.g., late filings, administrative penalties under USD 10,000); (d) negative reviews, customer complaints, or industry disputes that do not involve financial crime; (e) associations with individuals who have adverse media but where the connection is indirect or peripheral. Assessment: The compliance officer should document the findings, assess materiality, and determine whether the reports indicate a pattern or systemic concern. If findings are isolated and minor, a Score 2 is appropriate with enhanced monitoring.</t>
  </si>
  <si>
    <t xml:space="preserve">Confirmed adverse media / regulatory action (Score 4 — Very High Risk)</t>
  </si>
  <si>
    <t xml:space="preserve">Confirmed adverse media, regulatory action, or law enforcement involvement against the entity, its directors, UBOs, or closely connected parties. This includes: (a) formal regulatory enforcement actions — fines, licence suspensions or revocations, cease-and-desist orders, public censure by any financial regulator (FSC, FCA, SEC, MAS, etc.); (b) criminal investigations or prosecutions related to money laundering, terrorist financing, fraud, bribery, corruption, sanctions evasion, or tax evasion; (c) inclusion on any sanctions list (OFAC SDN, UN, EU, UK HMT) or designation as a blocked person/entity; (d) confirmed involvement in Ponzi schemes, market manipulation, insider trading, or other financial crime; (e) multiple credible media sources reporting substantiated allegations of serious wrongdoing; (f) adverse findings by law enforcement (Interpol, ICIJ, local police) or parliamentary/government inquiries. Assessment: A Score 4 triggers mandatory escalation to the MLRO. The relationship must undergo Enhanced Due Diligence (EDD) review. The MLRO must determine whether to (i) proceed with EDD and enhanced monitoring, (ii) file a Suspicious Transaction Report (STR) with the FIU, or (iii) decline/exit the relationship. All decisions must be documented.</t>
  </si>
  <si>
    <t xml:space="preserve">ARIE FINANCE LTD — COUNTRY RISK REFERENCE TABLE</t>
  </si>
  <si>
    <t xml:space="preserve">COUNTRY</t>
  </si>
  <si>
    <t xml:space="preserve">REGION</t>
  </si>
  <si>
    <t xml:space="preserve">FATF MEMBER</t>
  </si>
  <si>
    <t xml:space="preserve">FATF STATUS</t>
  </si>
  <si>
    <t xml:space="preserve">RISK SCORE</t>
  </si>
  <si>
    <t xml:space="preserve">RISK CATEGORY</t>
  </si>
  <si>
    <t xml:space="preserve">NOTES</t>
  </si>
  <si>
    <t xml:space="preserve">Australia</t>
  </si>
  <si>
    <t xml:space="preserve">Asia-Pacific</t>
  </si>
  <si>
    <t xml:space="preserve">Yes</t>
  </si>
  <si>
    <t xml:space="preserve">Clear</t>
  </si>
  <si>
    <t xml:space="preserve">FATF member; strong AML framework</t>
  </si>
  <si>
    <t xml:space="preserve">Canada</t>
  </si>
  <si>
    <t xml:space="preserve">Americas</t>
  </si>
  <si>
    <t xml:space="preserve">France</t>
  </si>
  <si>
    <t xml:space="preserve">Europe</t>
  </si>
  <si>
    <t xml:space="preserve">FATF founding member</t>
  </si>
  <si>
    <t xml:space="preserve">Germany</t>
  </si>
  <si>
    <t xml:space="preserve">Hong Kong SAR</t>
  </si>
  <si>
    <t xml:space="preserve">Strong regulatory framework</t>
  </si>
  <si>
    <t xml:space="preserve">Ireland</t>
  </si>
  <si>
    <t xml:space="preserve">EU member; robust AML laws</t>
  </si>
  <si>
    <t xml:space="preserve">Japan</t>
  </si>
  <si>
    <t xml:space="preserve">FATF member; strong controls</t>
  </si>
  <si>
    <t xml:space="preserve">Luxembourg</t>
  </si>
  <si>
    <t xml:space="preserve">EU financial centre</t>
  </si>
  <si>
    <t xml:space="preserve">Netherlands</t>
  </si>
  <si>
    <t xml:space="preserve">New Zealand</t>
  </si>
  <si>
    <t xml:space="preserve">Strong AML/CFT framework</t>
  </si>
  <si>
    <t xml:space="preserve">Singapore</t>
  </si>
  <si>
    <t xml:space="preserve">MAS-regulated; highly compliant</t>
  </si>
  <si>
    <t xml:space="preserve">Switzerland</t>
  </si>
  <si>
    <t xml:space="preserve">Strong FINMA-regulated framework</t>
  </si>
  <si>
    <t xml:space="preserve">United Kingdom</t>
  </si>
  <si>
    <t xml:space="preserve">FCA regulated; FATF member</t>
  </si>
  <si>
    <t xml:space="preserve">United States</t>
  </si>
  <si>
    <t xml:space="preserve">FATF founding member; FinCEN oversight</t>
  </si>
  <si>
    <t xml:space="preserve">Austria</t>
  </si>
  <si>
    <t xml:space="preserve">EU member; strong AML</t>
  </si>
  <si>
    <t xml:space="preserve">Belgium</t>
  </si>
  <si>
    <t xml:space="preserve">EU member</t>
  </si>
  <si>
    <t xml:space="preserve">Denmark</t>
  </si>
  <si>
    <t xml:space="preserve">Strong compliance culture</t>
  </si>
  <si>
    <t xml:space="preserve">Finland</t>
  </si>
  <si>
    <t xml:space="preserve">Norway</t>
  </si>
  <si>
    <t xml:space="preserve">Sweden</t>
  </si>
  <si>
    <t xml:space="preserve">South Korea</t>
  </si>
  <si>
    <t xml:space="preserve">FATF member; strong framework</t>
  </si>
  <si>
    <t xml:space="preserve">Israel</t>
  </si>
  <si>
    <t xml:space="preserve">Middle East</t>
  </si>
  <si>
    <t xml:space="preserve">FATF member</t>
  </si>
  <si>
    <t xml:space="preserve">Bahrain</t>
  </si>
  <si>
    <t xml:space="preserve">CBB regulated; growing compliance</t>
  </si>
  <si>
    <t xml:space="preserve">Botswana</t>
  </si>
  <si>
    <t xml:space="preserve">Africa</t>
  </si>
  <si>
    <t xml:space="preserve">Stable; FATF-compliant</t>
  </si>
  <si>
    <t xml:space="preserve">Brazil</t>
  </si>
  <si>
    <t xml:space="preserve">FATF member; large emerging market</t>
  </si>
  <si>
    <t xml:space="preserve">Chile</t>
  </si>
  <si>
    <t xml:space="preserve">FATF member; stable economy</t>
  </si>
  <si>
    <t xml:space="preserve">China</t>
  </si>
  <si>
    <t xml:space="preserve">FATF member; enhanced monitoring advised</t>
  </si>
  <si>
    <t xml:space="preserve">India</t>
  </si>
  <si>
    <t xml:space="preserve">FATF member; improving AML regime</t>
  </si>
  <si>
    <t xml:space="preserve">Indonesia</t>
  </si>
  <si>
    <t xml:space="preserve">FATF member; emerging market</t>
  </si>
  <si>
    <t xml:space="preserve">Kuwait</t>
  </si>
  <si>
    <t xml:space="preserve">FATF member; standard due diligence</t>
  </si>
  <si>
    <t xml:space="preserve">Malaysia</t>
  </si>
  <si>
    <t xml:space="preserve">FATF member; robust BNM oversight</t>
  </si>
  <si>
    <t xml:space="preserve">Mauritius</t>
  </si>
  <si>
    <t xml:space="preserve">FSC-regulated; previously EU-listed, now removed</t>
  </si>
  <si>
    <t xml:space="preserve">Mexico</t>
  </si>
  <si>
    <t xml:space="preserve">FATF member; monitor crime exposure</t>
  </si>
  <si>
    <t xml:space="preserve">Morocco</t>
  </si>
  <si>
    <t xml:space="preserve">FATF-style body member</t>
  </si>
  <si>
    <t xml:space="preserve">Oman</t>
  </si>
  <si>
    <t xml:space="preserve">CBO regulated; stable</t>
  </si>
  <si>
    <t xml:space="preserve">Qatar</t>
  </si>
  <si>
    <t xml:space="preserve">QCB regulated</t>
  </si>
  <si>
    <t xml:space="preserve">Rwanda</t>
  </si>
  <si>
    <t xml:space="preserve">Improving AML framework</t>
  </si>
  <si>
    <t xml:space="preserve">Saudi Arabia</t>
  </si>
  <si>
    <t xml:space="preserve">FATF member; SAMA regulated</t>
  </si>
  <si>
    <t xml:space="preserve">Seychelles</t>
  </si>
  <si>
    <t xml:space="preserve">IFC; FSA regulated</t>
  </si>
  <si>
    <t xml:space="preserve">Spain</t>
  </si>
  <si>
    <t xml:space="preserve">EU member; FATF member</t>
  </si>
  <si>
    <t xml:space="preserve">Turkey</t>
  </si>
  <si>
    <t xml:space="preserve">Europe/Asia</t>
  </si>
  <si>
    <t xml:space="preserve">Removed from grey list 2024; monitor progress</t>
  </si>
  <si>
    <t xml:space="preserve">UAE</t>
  </si>
  <si>
    <t xml:space="preserve">Removed from FATF grey list June 2024; enhanced monitoring still advised</t>
  </si>
  <si>
    <t xml:space="preserve">Uganda</t>
  </si>
  <si>
    <t xml:space="preserve">Improving compliance framework</t>
  </si>
  <si>
    <t xml:space="preserve">Ghana</t>
  </si>
  <si>
    <t xml:space="preserve">FATF-style body; improving AML</t>
  </si>
  <si>
    <t xml:space="preserve">Ivory Coast</t>
  </si>
  <si>
    <t xml:space="preserve">GIABA member; monitor closely</t>
  </si>
  <si>
    <t xml:space="preserve">Jordan</t>
  </si>
  <si>
    <t xml:space="preserve">Sri Lanka</t>
  </si>
  <si>
    <t xml:space="preserve">FATF member; post-crisis recovery</t>
  </si>
  <si>
    <t xml:space="preserve">Tunisia</t>
  </si>
  <si>
    <t xml:space="preserve">MENA-FATF member</t>
  </si>
  <si>
    <t xml:space="preserve">Algeria</t>
  </si>
  <si>
    <t xml:space="preserve">Grey List</t>
  </si>
  <si>
    <t xml:space="preserve">FATF grey list — enhanced due diligence required</t>
  </si>
  <si>
    <t xml:space="preserve">Burkina Faso</t>
  </si>
  <si>
    <t xml:space="preserve">FATF grey list — political instability</t>
  </si>
  <si>
    <t xml:space="preserve">Cameroon</t>
  </si>
  <si>
    <t xml:space="preserve">FATF grey list</t>
  </si>
  <si>
    <t xml:space="preserve">Democratic Rep. Congo</t>
  </si>
  <si>
    <t xml:space="preserve">FATF grey list — high corruption</t>
  </si>
  <si>
    <t xml:space="preserve">Haiti</t>
  </si>
  <si>
    <t xml:space="preserve">FATF grey list — political/economic crisis</t>
  </si>
  <si>
    <t xml:space="preserve">Kenya</t>
  </si>
  <si>
    <t xml:space="preserve">FATF grey list — AML deficiencies</t>
  </si>
  <si>
    <t xml:space="preserve">Laos</t>
  </si>
  <si>
    <t xml:space="preserve">Lebanon</t>
  </si>
  <si>
    <t xml:space="preserve">FATF grey list — financial crisis</t>
  </si>
  <si>
    <t xml:space="preserve">Mali</t>
  </si>
  <si>
    <t xml:space="preserve">FATF grey list — security issues</t>
  </si>
  <si>
    <t xml:space="preserve">Monaco</t>
  </si>
  <si>
    <t xml:space="preserve">Mozambique</t>
  </si>
  <si>
    <t xml:space="preserve">Namibia</t>
  </si>
  <si>
    <t xml:space="preserve">Nigeria</t>
  </si>
  <si>
    <t xml:space="preserve">FATF grey list — largest African economy; monitor closely</t>
  </si>
  <si>
    <t xml:space="preserve">Philippines</t>
  </si>
  <si>
    <t xml:space="preserve">Senegal</t>
  </si>
  <si>
    <t xml:space="preserve">South Africa</t>
  </si>
  <si>
    <t xml:space="preserve">FATF grey list added 2023</t>
  </si>
  <si>
    <t xml:space="preserve">South Sudan</t>
  </si>
  <si>
    <t xml:space="preserve">No</t>
  </si>
  <si>
    <t xml:space="preserve">FATF grey list — conflict-affected</t>
  </si>
  <si>
    <t xml:space="preserve">Tanzania</t>
  </si>
  <si>
    <t xml:space="preserve">Venezuela</t>
  </si>
  <si>
    <t xml:space="preserve">FATF grey list — economic collapse</t>
  </si>
  <si>
    <t xml:space="preserve">Vietnam</t>
  </si>
  <si>
    <t xml:space="preserve">Yemen</t>
  </si>
  <si>
    <t xml:space="preserve">Panama</t>
  </si>
  <si>
    <t xml:space="preserve">FATF grey list; offshore centre</t>
  </si>
  <si>
    <t xml:space="preserve">Ethiopia</t>
  </si>
  <si>
    <t xml:space="preserve">Afghanistan</t>
  </si>
  <si>
    <t xml:space="preserve">Black List</t>
  </si>
  <si>
    <t xml:space="preserve">FATF black list — Taliban governance</t>
  </si>
  <si>
    <t xml:space="preserve">Iran</t>
  </si>
  <si>
    <t xml:space="preserve">FATF black list — call for action; US/EU/UN sanctioned</t>
  </si>
  <si>
    <t xml:space="preserve">Myanmar</t>
  </si>
  <si>
    <t xml:space="preserve">FATF black list — military coup; call for action</t>
  </si>
  <si>
    <t xml:space="preserve">North Korea</t>
  </si>
  <si>
    <t xml:space="preserve">FATF black list — call for action; UN sanctioned</t>
  </si>
  <si>
    <t xml:space="preserve">Russia</t>
  </si>
  <si>
    <t xml:space="preserve">Suspended</t>
  </si>
  <si>
    <t xml:space="preserve">Suspended from FATF Feb 2023; extensive sanctions</t>
  </si>
  <si>
    <t xml:space="preserve">Belarus</t>
  </si>
  <si>
    <t xml:space="preserve">Sanctioned</t>
  </si>
  <si>
    <t xml:space="preserve">EU/US sanctions</t>
  </si>
  <si>
    <t xml:space="preserve">Syria</t>
  </si>
  <si>
    <t xml:space="preserve">EU/US/UN sanctions; conflict-affected</t>
  </si>
  <si>
    <t xml:space="preserve">Cuba</t>
  </si>
  <si>
    <t xml:space="preserve">US OFAC sanctions</t>
  </si>
  <si>
    <t xml:space="preserve">Zimbabwe</t>
  </si>
  <si>
    <t xml:space="preserve">Not greylisted but high corruption; exercise caution</t>
  </si>
  <si>
    <t xml:space="preserve">Pakistan</t>
  </si>
  <si>
    <t xml:space="preserve">Removed from FATF grey list 2022; enhanced monitoring</t>
  </si>
  <si>
    <t xml:space="preserve">NOTE: FATF grey list and black list are updated at each FATF Plenary (February, June, October). This table must be reviewed and updated following each plenary. Source: FATF (fatf-gafi.org) | Last updated: March 2026</t>
  </si>
  <si>
    <t xml:space="preserve">ARIE FINANCE LTD — AI DOCUMENT VERIFICATION CHECKS</t>
  </si>
  <si>
    <t xml:space="preserve">Automated checks performed on each uploaded document during client onboarding</t>
  </si>
  <si>
    <t xml:space="preserve">SECTION A — CORPORATE ENTITY DOCUMENTS</t>
  </si>
  <si>
    <t xml:space="preserve">#</t>
  </si>
  <si>
    <t xml:space="preserve">Document</t>
  </si>
  <si>
    <t xml:space="preserve">Check Name</t>
  </si>
  <si>
    <t xml:space="preserve">Verification Rule</t>
  </si>
  <si>
    <t xml:space="preserve">Check Type</t>
  </si>
  <si>
    <t xml:space="preserve">Client Prompt if Failed</t>
  </si>
  <si>
    <t xml:space="preserve">Certificate of Incorporation</t>
  </si>
  <si>
    <t xml:space="preserve">Entity Name Match</t>
  </si>
  <si>
    <t xml:space="preserve">Company name on certificate must match the applicant entity name</t>
  </si>
  <si>
    <t xml:space="preserve">Name</t>
  </si>
  <si>
    <t xml:space="preserve">Client prompted to verify or re-upload</t>
  </si>
  <si>
    <t xml:space="preserve">Registration Number</t>
  </si>
  <si>
    <t xml:space="preserve">Registration / incorporation number must be present and legible</t>
  </si>
  <si>
    <t xml:space="preserve">Content</t>
  </si>
  <si>
    <t xml:space="preserve">Client asked to upload a clearer copy</t>
  </si>
  <si>
    <t xml:space="preserve">Document Clarity</t>
  </si>
  <si>
    <t xml:space="preserve">Document must be legible; certified copy if applicable</t>
  </si>
  <si>
    <t xml:space="preserve">Quality</t>
  </si>
  <si>
    <t xml:space="preserve">Client asked to re-upload a clearer version</t>
  </si>
  <si>
    <t xml:space="preserve">Memorandum &amp; Articles of Association</t>
  </si>
  <si>
    <t xml:space="preserve">Company name must match the applicant entity</t>
  </si>
  <si>
    <t xml:space="preserve">Client prompted to verify</t>
  </si>
  <si>
    <t xml:space="preserve">Completeness</t>
  </si>
  <si>
    <t xml:space="preserve">All pages must be present and legible</t>
  </si>
  <si>
    <t xml:space="preserve">Client asked to re-upload full document</t>
  </si>
  <si>
    <t xml:space="preserve">Certification</t>
  </si>
  <si>
    <t xml:space="preserve">Must be a certified or signed copy</t>
  </si>
  <si>
    <t xml:space="preserve">Client prompted to upload certified version</t>
  </si>
  <si>
    <t xml:space="preserve">Certificate of Registration</t>
  </si>
  <si>
    <t xml:space="preserve">Company name must match</t>
  </si>
  <si>
    <t xml:space="preserve">Current Validity</t>
  </si>
  <si>
    <t xml:space="preserve">Must be current and not expired</t>
  </si>
  <si>
    <t xml:space="preserve">Expiry</t>
  </si>
  <si>
    <t xml:space="preserve">Client prompted: document is expired, upload valid version</t>
  </si>
  <si>
    <t xml:space="preserve">Must be legible and complete</t>
  </si>
  <si>
    <t xml:space="preserve">Client asked to re-upload a clearer copy</t>
  </si>
  <si>
    <t xml:space="preserve">Shareholder Register</t>
  </si>
  <si>
    <t xml:space="preserve">Ownership Consistency</t>
  </si>
  <si>
    <t xml:space="preserve">Shareholdings must match UBOs declared in pre-screening</t>
  </si>
  <si>
    <t xml:space="preserve">Client prompted: ownership does not match declared UBOs</t>
  </si>
  <si>
    <t xml:space="preserve">Total ownership must add up to 100%</t>
  </si>
  <si>
    <t xml:space="preserve">Client prompted: total does not sum to 100%</t>
  </si>
  <si>
    <t xml:space="preserve">Currency</t>
  </si>
  <si>
    <t xml:space="preserve">Register must reflect current shareholding structure</t>
  </si>
  <si>
    <t xml:space="preserve">Age (≤12 mo)</t>
  </si>
  <si>
    <t xml:space="preserve">Client prompted: document may be outdated</t>
  </si>
  <si>
    <t xml:space="preserve">Register of Directors</t>
  </si>
  <si>
    <t xml:space="preserve">Director Consistency</t>
  </si>
  <si>
    <t xml:space="preserve">Directors must match those declared in pre-screening</t>
  </si>
  <si>
    <t xml:space="preserve">Client prompted: directors do not match application</t>
  </si>
  <si>
    <t xml:space="preserve">All current directors must be listed</t>
  </si>
  <si>
    <t xml:space="preserve">Client prompted: list appears incomplete</t>
  </si>
  <si>
    <t xml:space="preserve">Must be legible</t>
  </si>
  <si>
    <t xml:space="preserve">Latest Annual Financial Statements / Management Accounts</t>
  </si>
  <si>
    <t xml:space="preserve">Financial Period</t>
  </si>
  <si>
    <t xml:space="preserve">Must be for most recent financial year; forecast if entity &lt; 1 year old</t>
  </si>
  <si>
    <t xml:space="preserve">Age (≤18 mo)</t>
  </si>
  <si>
    <t xml:space="preserve">Client prompted: statements are too old</t>
  </si>
  <si>
    <t xml:space="preserve">Company name on statements must match the applicant</t>
  </si>
  <si>
    <t xml:space="preserve">Client prompted to verify entity name</t>
  </si>
  <si>
    <t xml:space="preserve">Audit Status</t>
  </si>
  <si>
    <t xml:space="preserve">Preferably audited; management accounts acceptable for new entities</t>
  </si>
  <si>
    <t xml:space="preserve">Client informed: unaudited — management accounts noted</t>
  </si>
  <si>
    <t xml:space="preserve">Balance sheet, P&amp;L, and notes must be present</t>
  </si>
  <si>
    <t xml:space="preserve">Client prompted: financial statements appear incomplete</t>
  </si>
  <si>
    <t xml:space="preserve">Proof of Registered Address</t>
  </si>
  <si>
    <t xml:space="preserve">Document Date</t>
  </si>
  <si>
    <t xml:space="preserve">Must be dated within the last 3 months</t>
  </si>
  <si>
    <t xml:space="preserve">Age (≤3 mo)</t>
  </si>
  <si>
    <t xml:space="preserve">Client prompted: document is older than 3 months</t>
  </si>
  <si>
    <t xml:space="preserve">Entity name on document must match the applicant</t>
  </si>
  <si>
    <t xml:space="preserve">Document must be legible and unredacted</t>
  </si>
  <si>
    <t xml:space="preserve">Address Match</t>
  </si>
  <si>
    <t xml:space="preserve">Address must match the registered office address on application</t>
  </si>
  <si>
    <t xml:space="preserve">Client prompted: address does not match application</t>
  </si>
  <si>
    <t xml:space="preserve">Board Resolution</t>
  </si>
  <si>
    <t xml:space="preserve">Signatory Match</t>
  </si>
  <si>
    <t xml:space="preserve">Authorised signatory must be a declared director</t>
  </si>
  <si>
    <t xml:space="preserve">Client prompted: signatory is not a known director</t>
  </si>
  <si>
    <t xml:space="preserve">Resolution Date</t>
  </si>
  <si>
    <t xml:space="preserve">Must be dated and reasonably current</t>
  </si>
  <si>
    <t xml:space="preserve">Client prompted: resolution may be outdated</t>
  </si>
  <si>
    <t xml:space="preserve">Scope of Authority</t>
  </si>
  <si>
    <t xml:space="preserve">Must authorise the signatory to open the account</t>
  </si>
  <si>
    <t xml:space="preserve">Client prompted: resolution does not cover account opening</t>
  </si>
  <si>
    <t xml:space="preserve">Company Structure Chart</t>
  </si>
  <si>
    <t xml:space="preserve">UBO Chain</t>
  </si>
  <si>
    <t xml:space="preserve">Must trace ownership to ultimate beneficial owners</t>
  </si>
  <si>
    <t xml:space="preserve">Client prompted: UBO chain is incomplete</t>
  </si>
  <si>
    <t xml:space="preserve">Ownership Match</t>
  </si>
  <si>
    <t xml:space="preserve">Shareholdings must match shareholder register</t>
  </si>
  <si>
    <t xml:space="preserve">Client prompted: structure does not match register</t>
  </si>
  <si>
    <t xml:space="preserve">Legibility</t>
  </si>
  <si>
    <t xml:space="preserve">Diagram must be clear and readable</t>
  </si>
  <si>
    <t xml:space="preserve">Bank Reference Letter (High / Very High Risk only)</t>
  </si>
  <si>
    <t xml:space="preserve">Bank Letterhead</t>
  </si>
  <si>
    <t xml:space="preserve">Must be on official bank letterhead</t>
  </si>
  <si>
    <t xml:space="preserve">Client prompted: document does not appear to be on bank letterhead</t>
  </si>
  <si>
    <t xml:space="preserve">Client prompted: letter is older than 3 months</t>
  </si>
  <si>
    <t xml:space="preserve">Entity name must match the applicant</t>
  </si>
  <si>
    <t xml:space="preserve">Regulatory Licence(s)</t>
  </si>
  <si>
    <t xml:space="preserve">Licence Validity</t>
  </si>
  <si>
    <t xml:space="preserve">Licence must not be expired</t>
  </si>
  <si>
    <t xml:space="preserve">Client prompted: licence appears expired</t>
  </si>
  <si>
    <t xml:space="preserve">Licensee name must match the applicant entity</t>
  </si>
  <si>
    <t xml:space="preserve">Licence Scope</t>
  </si>
  <si>
    <t xml:space="preserve">Licence must cover the activities described in the application</t>
  </si>
  <si>
    <t xml:space="preserve">Client prompted: licence scope may not cover declared activities</t>
  </si>
  <si>
    <t xml:space="preserve">SECTION B — DIRECTORS &amp; UBO IDENTITY DOCUMENTS</t>
  </si>
  <si>
    <t xml:space="preserve">Passport / Government ID</t>
  </si>
  <si>
    <t xml:space="preserve">Document Expiry</t>
  </si>
  <si>
    <t xml:space="preserve">Must not be expired; at least 6 months validity remaining recommended</t>
  </si>
  <si>
    <t xml:space="preserve">Client prompted: passport/ID is expired or nearing expiry</t>
  </si>
  <si>
    <t xml:space="preserve">Photo Quality</t>
  </si>
  <si>
    <t xml:space="preserve">Photo must be clear and identifiable</t>
  </si>
  <si>
    <t xml:space="preserve">Client asked to re-upload a clearer image</t>
  </si>
  <si>
    <t xml:space="preserve">Name Match</t>
  </si>
  <si>
    <t xml:space="preserve">Name must match the person declared in the application</t>
  </si>
  <si>
    <t xml:space="preserve">Client prompted: name does not match application</t>
  </si>
  <si>
    <t xml:space="preserve">Nationality Match</t>
  </si>
  <si>
    <t xml:space="preserve">Nationality must match the nationality declared in pre-screening</t>
  </si>
  <si>
    <t xml:space="preserve">Client prompted: nationality mismatch detected</t>
  </si>
  <si>
    <t xml:space="preserve">Proof of Address (Personal)</t>
  </si>
  <si>
    <t xml:space="preserve">Name on document must match the person declared</t>
  </si>
  <si>
    <t xml:space="preserve">Client prompted: name does not match</t>
  </si>
  <si>
    <t xml:space="preserve">Must be legible and show full address</t>
  </si>
  <si>
    <t xml:space="preserve">Must be certified by a notary, lawyer, or bank officer</t>
  </si>
  <si>
    <t xml:space="preserve">Client prompted: document does not appear to be certified</t>
  </si>
  <si>
    <t xml:space="preserve">CV / LinkedIn Profile</t>
  </si>
  <si>
    <t xml:space="preserve">Name on CV/profile must match declared identity</t>
  </si>
  <si>
    <t xml:space="preserve">Client prompted: name mismatch</t>
  </si>
  <si>
    <t xml:space="preserve">Employment History</t>
  </si>
  <si>
    <t xml:space="preserve">Should include relevant professional background</t>
  </si>
  <si>
    <t xml:space="preserve">Client informed: CV appears incomplete</t>
  </si>
  <si>
    <t xml:space="preserve">PEP Declaration Form (if applicable)</t>
  </si>
  <si>
    <t xml:space="preserve">All required fields must be completed (function, net worth, origin of funds)</t>
  </si>
  <si>
    <t xml:space="preserve">Client prompted: PEP declaration is incomplete</t>
  </si>
  <si>
    <t xml:space="preserve">Source of Wealth Evidence</t>
  </si>
  <si>
    <t xml:space="preserve">Supporting documents must match declared origin of funds/wealth</t>
  </si>
  <si>
    <t xml:space="preserve">Client prompted: supporting evidence does not match declaration</t>
  </si>
  <si>
    <t xml:space="preserve">Consistency</t>
  </si>
  <si>
    <t xml:space="preserve">Declared assets/liabilities must be plausible given declared functions</t>
  </si>
  <si>
    <t xml:space="preserve">Flagged for compliance manual review</t>
  </si>
  <si>
    <t xml:space="preserve">Bank Reference Letter (PEP — Required)</t>
  </si>
  <si>
    <t xml:space="preserve">Client prompted: bank reference letter is older than 3 months</t>
  </si>
  <si>
    <t xml:space="preserve">Account Holder Name Match</t>
  </si>
  <si>
    <t xml:space="preserve">Account holder name must match the declared person</t>
  </si>
  <si>
    <t xml:space="preserve">Client prompted: name on bank reference does not match declared person</t>
  </si>
  <si>
    <t xml:space="preserve">Bank Identification</t>
  </si>
  <si>
    <t xml:space="preserve">Must be on official bank letterhead with branch/SWIFT details visible</t>
  </si>
  <si>
    <t xml:space="preserve">Client prompted: document does not appear to be on official bank letterhead</t>
  </si>
  <si>
    <t xml:space="preserve">Account Standing</t>
  </si>
  <si>
    <t xml:space="preserve">Must confirm account in good standing for at least 12 months</t>
  </si>
  <si>
    <t xml:space="preserve">Client prompted: letter does not confirm minimum 12-month account standing</t>
  </si>
  <si>
    <t xml:space="preserve">Authorised Signatory</t>
  </si>
  <si>
    <t xml:space="preserve">Must be signed by an authorised bank officer with name and title</t>
  </si>
  <si>
    <t xml:space="preserve">Client prompted: signatory details are missing or illegible</t>
  </si>
  <si>
    <t xml:space="preserve">SECTION C — BUSINESS OPERATING DOCUMENTS</t>
  </si>
  <si>
    <t xml:space="preserve">Sample Contracts / Agreements</t>
  </si>
  <si>
    <t xml:space="preserve">Contracting party must match the applicant entity</t>
  </si>
  <si>
    <t xml:space="preserve">Client prompted: entity name mismatch</t>
  </si>
  <si>
    <t xml:space="preserve">Business Relevance</t>
  </si>
  <si>
    <t xml:space="preserve">Contracts must relate to the declared business activities</t>
  </si>
  <si>
    <t xml:space="preserve">Client prompted: contracts appear unrelated to declared activities</t>
  </si>
  <si>
    <t xml:space="preserve">Source of Wealth Evidence (High / Very High Risk only)</t>
  </si>
  <si>
    <t xml:space="preserve">SoW Consistency</t>
  </si>
  <si>
    <t xml:space="preserve">Must support the source of wealth declared in pre-screening</t>
  </si>
  <si>
    <t xml:space="preserve">Client prompted: evidence does not match SoW declaration</t>
  </si>
  <si>
    <t xml:space="preserve">Must be legible and unredacted</t>
  </si>
  <si>
    <t xml:space="preserve">Source of Funds Evidence (High / Very High Risk only)</t>
  </si>
  <si>
    <t xml:space="preserve">SoF Consistency</t>
  </si>
  <si>
    <t xml:space="preserve">Must support the source of funds declared in pre-screening</t>
  </si>
  <si>
    <t xml:space="preserve">Client prompted: evidence does not match SoF declaration</t>
  </si>
  <si>
    <t xml:space="preserve">Bank Statements — Last 6 Months (High / Very High Risk only)</t>
  </si>
  <si>
    <t xml:space="preserve">Statement Period</t>
  </si>
  <si>
    <t xml:space="preserve">Must cover the last 6 consecutive months</t>
  </si>
  <si>
    <t xml:space="preserve">Age (≤6 mo)</t>
  </si>
  <si>
    <t xml:space="preserve">Client prompted: statements do not cover 6 consecutive months</t>
  </si>
  <si>
    <t xml:space="preserve">Account Holder Match</t>
  </si>
  <si>
    <t xml:space="preserve">Account holder name must match the applicant entity</t>
  </si>
  <si>
    <t xml:space="preserve">Client prompted: account holder mismatch</t>
  </si>
  <si>
    <t xml:space="preserve">All 6 months must be present with no gaps</t>
  </si>
  <si>
    <t xml:space="preserve">Client prompted: there are gaps in the statement period</t>
  </si>
  <si>
    <t xml:space="preserve">AML/CFT Policy</t>
  </si>
  <si>
    <t xml:space="preserve">Policy Completeness</t>
  </si>
  <si>
    <t xml:space="preserve">Must cover CDD, suspicious transaction reporting, record-keeping, and training</t>
  </si>
  <si>
    <t xml:space="preserve">Client prompted: policy appears to be missing key sections</t>
  </si>
  <si>
    <t xml:space="preserve">Policy Date</t>
  </si>
  <si>
    <t xml:space="preserve">Should be reviewed within the last 12 months</t>
  </si>
  <si>
    <t xml:space="preserve">Client prompted: policy may be outdated</t>
  </si>
  <si>
    <t xml:space="preserve">Applicability</t>
  </si>
  <si>
    <t xml:space="preserve">Policy must be specific to the entity, not a generic template</t>
  </si>
  <si>
    <t xml:space="preserve">Client informed: policy appears to be a generic template</t>
  </si>
  <si>
    <t xml:space="preserve">CHECK TYPE LEGEND</t>
  </si>
  <si>
    <t xml:space="preserve">Entity or person name on document cross-referenced against application data</t>
  </si>
  <si>
    <t xml:space="preserve">Document validity / expiration date check</t>
  </si>
  <si>
    <t xml:space="preserve">Age (≤N mo)</t>
  </si>
  <si>
    <t xml:space="preserve">Document must not be older than N months from upload date</t>
  </si>
  <si>
    <t xml:space="preserve">Image clarity, legibility, completeness, and certification checks</t>
  </si>
  <si>
    <t xml:space="preserve">Substantive review — data consistency, cross-referencing, and scope verification</t>
  </si>
  <si>
    <t xml:space="preserve">Total AI Checks: 66</t>
  </si>
  <si>
    <t xml:space="preserve">All checks are performed in real time upon document upload. Clients are prompted immediately if any issue is detected.</t>
  </si>
  <si>
    <t xml:space="preserve">ARIE FINANCE LTD — AI AGENT REGISTRY</t>
  </si>
  <si>
    <t xml:space="preserve">AI-assisted compliance pipeline — agent definitions, trigger points, and outputs</t>
  </si>
  <si>
    <t xml:space="preserve">ONBOARDING PIPELINE AGENTS</t>
  </si>
  <si>
    <t xml:space="preserve">Agent Name</t>
  </si>
  <si>
    <t xml:space="preserve">Purpose</t>
  </si>
  <si>
    <t xml:space="preserve">Trigger Point</t>
  </si>
  <si>
    <t xml:space="preserve">Key Checks / Inputs</t>
  </si>
  <si>
    <t xml:space="preserve">Output</t>
  </si>
  <si>
    <t xml:space="preserve">Status</t>
  </si>
  <si>
    <t xml:space="preserve">Account Risk Agent</t>
  </si>
  <si>
    <t xml:space="preserve">Detect suspicious sign-ups and prevent fraudulent or spam registrations before onboarding begins.</t>
  </si>
  <si>
    <t xml:space="preserve">Client registration form submission</t>
  </si>
  <si>
    <t xml:space="preserve">Disposable email domain detection
IP geolocation mismatch
VPN / TOR detection
Repeated application detection
Known fraud domain screening</t>
  </si>
  <si>
    <t xml:space="preserve">Low Risk → Proceed
Suspicious → Flag for monitoring
Block → Registration denied</t>
  </si>
  <si>
    <t xml:space="preserve">Live</t>
  </si>
  <si>
    <t xml:space="preserve">Pre-Screening Risk Agent</t>
  </si>
  <si>
    <t xml:space="preserve">Evaluate whether the client fits ARIE's risk appetite before full onboarding begins. Can eliminate 30-50% of unsuitable applicants early.</t>
  </si>
  <si>
    <t xml:space="preserve">After pre-screening form submission, during AI risk scoring phase</t>
  </si>
  <si>
    <t xml:space="preserve">Prohibited sector screening
Business model adequacy
Geographic risk appetite
Transaction volume reasonableness
Payment corridor risk assessment</t>
  </si>
  <si>
    <t xml:space="preserve">Within Appetite → Proceed
Review Required → Manual check
Outside Appetite → Reject</t>
  </si>
  <si>
    <t xml:space="preserve">Corporate Data Agent</t>
  </si>
  <si>
    <t xml:space="preserve">Match and retrieve company data from public registries. Detect inconsistencies between registry data and client input.</t>
  </si>
  <si>
    <t xml:space="preserve">Company lookup / autofill stage (client enters company name or registration number)</t>
  </si>
  <si>
    <t xml:space="preserve">Company name match (registry vs input)
Registration number verification
Incorporation date cross-reference
Registered address verification
Director names consistency
Active / dissolved status check</t>
  </si>
  <si>
    <t xml:space="preserve">Verified → All data matched
Possible Mismatch → Discrepancies flagged
Multiple Matches → Client selects correct entity</t>
  </si>
  <si>
    <t xml:space="preserve">Business Narrative Agent</t>
  </si>
  <si>
    <t xml:space="preserve">Evaluate whether the business story is plausible and internally consistent. Detect high-risk onboarding profiles early.</t>
  </si>
  <si>
    <t xml:space="preserve">During AI risk scoring phase (after pre-screening submission)</t>
  </si>
  <si>
    <t xml:space="preserve">Business description vs sector alignment
Transaction volume vs company size
Geography vs business model logic
Revenue model plausibility
Industry norm comparison</t>
  </si>
  <si>
    <t xml:space="preserve">Consistent → Proceed
Needs Clarification → Flag for review
Suspicious Profile → Escalate</t>
  </si>
  <si>
    <t xml:space="preserve">Document Intelligence Agent</t>
  </si>
  <si>
    <t xml:space="preserve">Automatically read, validate, and cross-reference uploaded documents in real time. 61 verification checks across 16 document types.</t>
  </si>
  <si>
    <t xml:space="preserve">Each document upload (real-time, immediate feedback)</t>
  </si>
  <si>
    <t xml:space="preserve">OCR text extraction
Document type identification
Expiry / validity detection
Date checks (3mo / 6mo / 12mo / 18mo rules)
Name matching (entity &amp; person)
Document clarity / legibility
Cross-document consistency
Duplicate detection
Completeness scoring</t>
  </si>
  <si>
    <t xml:space="preserve">Per-document: Pass / Warning / Fail with specific client prompts
Aggregate: Document completeness score
Cross-reference: Name match summary</t>
  </si>
  <si>
    <t xml:space="preserve">Financial Crime Intelligence Agent</t>
  </si>
  <si>
    <t xml:space="preserve">Analyse screening results, consolidate hits, remove false positives, and summarise real risks. Saves compliance officers significant time.</t>
  </si>
  <si>
    <t xml:space="preserve">During AI risk scoring phase</t>
  </si>
  <si>
    <t xml:space="preserve">Global sanctions (UN, EU, OFAC, HMT)
PEP database (World-Check, Dow Jones)
Adverse media (100,000+ sources)
False positive analysis &amp; reduction
Hit severity ranking
Consolidated risk summary</t>
  </si>
  <si>
    <t xml:space="preserve">All Clear → No escalation
Review Required → True positive identified
Escalate → Confirmed match (sanctions/PEP)</t>
  </si>
  <si>
    <t xml:space="preserve">Source of Funds Analysis Agent</t>
  </si>
  <si>
    <t xml:space="preserve">Evaluate the plausibility of the client's financial explanation. Identify financial crime risks early.</t>
  </si>
  <si>
    <t xml:space="preserve">SoF explanation vs business activity
SoF vs expected transaction volumes
SoW consistency with entity profile
Documentation sufficiency assessment</t>
  </si>
  <si>
    <t xml:space="preserve">Supported → SoF/SoW plausible
Partially Supported → Additional docs may be needed
Unsupported → Escalate to compliance</t>
  </si>
  <si>
    <t xml:space="preserve">Risk Decision Agent</t>
  </si>
  <si>
    <t xml:space="preserve">Combine all signals from all agents into a structured risk recommendation. Assign onboarding lane. AI never approves — only recommends.</t>
  </si>
  <si>
    <t xml:space="preserve">End of AI risk scoring phase (after all other agents complete)</t>
  </si>
  <si>
    <t xml:space="preserve">Jurisdiction risk (Dimension 2)
Industry risk (Dimension 4)
Ownership complexity (Dimension 1)
Screening results integration
Document completeness signal
Source of funds consistency
5-dimension weighted composite score</t>
  </si>
  <si>
    <t xml:space="preserve">Risk Score (0-100) + Level (Low/Medium/High/Very High)
Onboarding Lane:
  Fast Lane (Low risk)
  Standard Review (Medium)
  Enhanced Due Diligence (High/Very High)</t>
  </si>
  <si>
    <t xml:space="preserve">Compliance Memo Agent</t>
  </si>
  <si>
    <t xml:space="preserve">Automatically generate a structured case summary for compliance officers, eliminating manual report writing.</t>
  </si>
  <si>
    <t xml:space="preserve">Client submits final application (after pre-submission review)</t>
  </si>
  <si>
    <t xml:space="preserve">Client overview generation
Ownership structure summary
Screening summary (sanctions/PEP/adverse media)
Risk driver identification &amp; colour-coding
Lane-specific recommendation</t>
  </si>
  <si>
    <t xml:space="preserve">Complete compliance memo containing:
  Client profile
  Ownership structure
  Screening results
  Risk drivers
  AI recommendation &amp; assigned lane</t>
  </si>
  <si>
    <t xml:space="preserve">Continuous Risk Monitoring Agent</t>
  </si>
  <si>
    <t xml:space="preserve">Post-onboarding lifecycle monitoring. Detect changes in risk profile after account is active.</t>
  </si>
  <si>
    <t xml:space="preserve">Ongoing (scheduled periodic scans + event-driven alerts)</t>
  </si>
  <si>
    <t xml:space="preserve">New adverse media detection
Sanctions list updates
Ownership change detection
Unusual activity pattern analysis
Periodic re-screening (annual/biannual)</t>
  </si>
  <si>
    <t xml:space="preserve">No Change → Continue monitoring
Alert → Risk change detected
Escalate → Immediate compliance review</t>
  </si>
  <si>
    <t xml:space="preserve">Future Phase</t>
  </si>
  <si>
    <t xml:space="preserve">AI COMPLIANCE PIPELINE FLOW</t>
  </si>
  <si>
    <t xml:space="preserve">Stage</t>
  </si>
  <si>
    <t xml:space="preserve">AI Agent(s)</t>
  </si>
  <si>
    <t xml:space="preserve">Client Portal</t>
  </si>
  <si>
    <t xml:space="preserve">Registration &amp; Login</t>
  </si>
  <si>
    <t xml:space="preserve">→</t>
  </si>
  <si>
    <t xml:space="preserve">Company Lookup</t>
  </si>
  <si>
    <t xml:space="preserve">Pre-Screening Form</t>
  </si>
  <si>
    <t xml:space="preserve">—</t>
  </si>
  <si>
    <t xml:space="preserve">AI Risk Scoring</t>
  </si>
  <si>
    <t xml:space="preserve">Pre-Screening Risk Agent + Business Narrative Agent + Financial Crime Agent + Source of Funds Agent + Risk Decision Agent</t>
  </si>
  <si>
    <t xml:space="preserve">Pricing Acceptance</t>
  </si>
  <si>
    <t xml:space="preserve">KYC Document Upload</t>
  </si>
  <si>
    <t xml:space="preserve">Document Intelligence Agent (61 checks)</t>
  </si>
  <si>
    <t xml:space="preserve">Pre-Submission Review</t>
  </si>
  <si>
    <t xml:space="preserve">Final Submission</t>
  </si>
  <si>
    <t xml:space="preserve">Human Compliance Review</t>
  </si>
  <si>
    <t xml:space="preserve">Compliance officer makes final decision</t>
  </si>
  <si>
    <t xml:space="preserve">Account Activated</t>
  </si>
  <si>
    <t xml:space="preserve">Continuous Monitoring Agent (Future)</t>
  </si>
  <si>
    <t xml:space="preserve">STRATEGIC ADVANTAGE</t>
  </si>
  <si>
    <t xml:space="preserve">With this AI-assisted compliance pipeline, ARIE Finance can realistically achieve low-risk onboarding decisions in 24 hours or less — extremely competitive compared to traditional banks and payment institutions.</t>
  </si>
  <si>
    <t xml:space="preserve">Total AI Agents: 10 (9 Live + 1 Future Phase)  |  Total AI Verification Checks: 61  |  Document Types Covered: 16</t>
  </si>
  <si>
    <t xml:space="preserve">ARIE FINANCE LTD — RISK SCORING MODEL: METHODOLOGY</t>
  </si>
  <si>
    <t xml:space="preserve">AML/CFT Risk Assessment Framework — Version 1.3</t>
  </si>
  <si>
    <t xml:space="preserve">  PURPOSE</t>
  </si>
  <si>
    <t xml:space="preserve">This model provides a standardised, repeatable risk assessment framework for all corporate clients applying for Payment Intermediary Services (PIS) through ARIE Finance Ltd. It is designed to comply with the FATF Risk-Based Approach for banking and payment institutions.</t>
  </si>
  <si>
    <t xml:space="preserve">  REGULATORY BASIS</t>
  </si>
  <si>
    <t xml:space="preserve">FATF Recommendations (2012, updated 2023) | FATF Risk-Based Approach Guidance: Banking Sector | FSC Mauritius AML/CFT Guidelines | Bank of Mauritius AML/CFT Guideline (2022)</t>
  </si>
  <si>
    <t xml:space="preserve">  SCORING SCALE</t>
  </si>
  <si>
    <t xml:space="preserve">Each sub-factor is scored on a 1–4 scale:
  1 = Low Risk
  2 = Medium Risk
  3 = High Risk
  4 = Very High Risk</t>
  </si>
  <si>
    <t xml:space="preserve">  DIMENSION WEIGHTS</t>
  </si>
  <si>
    <t xml:space="preserve">Dimension 1: Customer / Entity Risk — 30%
Dimension 2: Geographic Risk — 25%
Dimension 3: Product / Service Risk — 20%
Dimension 4: Industry / Sector Risk — 15%
Dimension 5: Delivery Channel Risk — 10%
Sub-factors 1.5 (Source of Wealth) and 1.6 (Initial Source of Funds) are included under Dimension 1 as customer-level risk indicators.</t>
  </si>
  <si>
    <t xml:space="preserve">  COMPOSITE SCORE</t>
  </si>
  <si>
    <t xml:space="preserve">The weighted composite score is calculated as:
  Score = (Sum of all dimension weighted scores ÷ 4) × 100
This produces a normalised score from 0 to 100.</t>
  </si>
  <si>
    <t xml:space="preserve">  RISK THRESHOLDS</t>
  </si>
  <si>
    <t xml:space="preserve">Low Risk: Score 0–39 → Simplified Due Diligence (SDD)
Medium Risk: Score 40–69 → Customer Due Diligence (CDD)
High Risk: Score 70–100 → Enhanced Due Diligence (EDD)</t>
  </si>
  <si>
    <t xml:space="preserve">  COMPLIANCE ESCALATION</t>
  </si>
  <si>
    <t xml:space="preserve">Compliance approval is MANDATORY before proceeding when:
  (a) Any individual sub-factor scores 4 (Very High Risk), OR
  (b) The business sector is classified as Very High Risk, OR
  (c) The overall composite score is 85 or above.
All escalated cases must be reviewed and approved by the Chief Compliance Officer.</t>
  </si>
  <si>
    <t xml:space="preserve">  DUE DILIGENCE LEVELS</t>
  </si>
  <si>
    <t xml:space="preserve">SDD (Low Risk): Standard identity verification, basic UBO check, standard document collection
CDD (Medium Risk): Full KYC, UBO verification, source of funds, business verification
EDD (High Risk): All CDD plus senior management approval, enhanced source of funds/wealth, ongoing enhanced monitoring, annual review</t>
  </si>
  <si>
    <t xml:space="preserve">  VERY HIGH RISK SECTORS</t>
  </si>
  <si>
    <t xml:space="preserve">The following sectors are automatically flagged for compliance approval regardless of overall score:
  • Cryptocurrency / Virtual Asset Services
  • Gambling / Gaming / Betting
  • Arms / Defence / Military Equipment
  • Adult Entertainment
  • Shell Company / Nominee Services</t>
  </si>
  <si>
    <t xml:space="preserve">  REVIEW SCHEDULE</t>
  </si>
  <si>
    <t xml:space="preserve">This model must be reviewed:
  • Annually as part of the AML/CFT annual review
  • Following each FATF Plenary (February, June, October)
  • Following any material change to ARIE Finance's business model or client base
  • Following any regulatory guidance update from FSC Mauritius or Bank of Mauritius</t>
  </si>
  <si>
    <t xml:space="preserve">  VERSION CONTROL</t>
  </si>
  <si>
    <t xml:space="preserve">Version 1.2 — 12 March 2026
Change: Source of Wealth &amp; Funds consolidated under Dimension 1 (Customer/Entity Risk) as sub-factors 1.5 and 1.6. Rebalanced dimension weights to 30/25/20/15/10. Removed virtual asset/crypto-related services.</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</si>
</sst>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0"/>
  </numFmts>
  <fonts count="63">
    <font>
      <sz val="11"/>
      <color theme="1"/>
      <name val="Calibri"/>
      <family val="2"/>
      <charset val="1"/>
    </font>
    <font>
      <sz val="10"/>
      <name val="Arial"/>
      <family val="0"/>
    </font>
    <font>
      <sz val="10"/>
      <name val="Arial"/>
      <family val="0"/>
    </font>
    <font>
      <sz val="10"/>
      <name val="Arial"/>
      <family val="0"/>
    </font>
    <font>
      <b val="true"/>
      <sz val="15"/>
      <color rgb="FFFFFFFF"/>
      <name val="Arial"/>
      <family val="2"/>
      <charset val="1"/>
    </font>
    <font>
      <i val="true"/>
      <sz val="10"/>
      <color rgb="FFFFFFFF"/>
      <name val="Arial"/>
      <family val="2"/>
      <charset val="1"/>
    </font>
    <font>
      <b val="true"/>
      <sz val="10"/>
      <color rgb="FF1A1D2E"/>
      <name val="Arial"/>
      <family val="2"/>
      <charset val="1"/>
    </font>
    <font>
      <sz val="10"/>
      <color rgb="FF0000FF"/>
      <name val="Arial"/>
      <family val="2"/>
      <charset val="1"/>
    </font>
    <font>
      <b val="true"/>
      <sz val="9"/>
      <color rgb="FFFFFFFF"/>
      <name val="Arial"/>
      <family val="2"/>
      <charset val="1"/>
    </font>
    <font>
      <b val="true"/>
      <sz val="10"/>
      <color rgb="FFFFFFFF"/>
      <name val="Arial"/>
      <family val="2"/>
      <charset val="1"/>
    </font>
    <font>
      <sz val="10"/>
      <color rgb="FF1A1D2E"/>
      <name val="Arial"/>
      <family val="2"/>
      <charset val="1"/>
    </font>
    <font>
      <i val="true"/>
      <sz val="9"/>
      <color rgb="FFFFFFFF"/>
      <name val="Arial"/>
      <family val="2"/>
      <charset val="1"/>
    </font>
    <font>
      <sz val="11"/>
      <name val="Cambria"/>
      <family val="1"/>
      <charset val="1"/>
    </font>
    <font>
      <b val="true"/>
      <sz val="11"/>
      <color rgb="FFFFFFFF"/>
      <name val="Arial"/>
      <family val="2"/>
      <charset val="1"/>
    </font>
    <font>
      <i val="true"/>
      <sz val="9"/>
      <color rgb="FF1A1D2E"/>
      <name val="Arial"/>
      <family val="2"/>
      <charset val="1"/>
    </font>
    <font>
      <b val="true"/>
      <sz val="14"/>
      <color rgb="FF1A1D2E"/>
      <name val="Arial"/>
      <family val="2"/>
      <charset val="1"/>
    </font>
    <font>
      <b val="true"/>
      <sz val="12"/>
      <color rgb="FF1A1D2E"/>
      <name val="Arial"/>
      <family val="2"/>
      <charset val="1"/>
    </font>
    <font>
      <i val="true"/>
      <sz val="8"/>
      <color rgb="FF888888"/>
      <name val="Arial"/>
      <family val="2"/>
      <charset val="1"/>
    </font>
    <font>
      <b val="true"/>
      <sz val="12"/>
      <color rgb="FFFFFFFF"/>
      <name val="Arial"/>
      <family val="2"/>
      <charset val="1"/>
    </font>
    <font>
      <sz val="9"/>
      <color rgb="FF1A1D2E"/>
      <name val="Arial"/>
      <family val="2"/>
      <charset val="1"/>
    </font>
    <font>
      <b val="true"/>
      <sz val="9"/>
      <color rgb="FF1E8449"/>
      <name val="Arial"/>
      <family val="2"/>
      <charset val="1"/>
    </font>
    <font>
      <sz val="9"/>
      <color rgb="FF1E8449"/>
      <name val="Arial"/>
      <family val="2"/>
      <charset val="1"/>
    </font>
    <font>
      <b val="true"/>
      <sz val="9"/>
      <color rgb="FFB7950B"/>
      <name val="Arial"/>
      <family val="2"/>
      <charset val="1"/>
    </font>
    <font>
      <sz val="9"/>
      <color rgb="FFB7950B"/>
      <name val="Arial"/>
      <family val="2"/>
      <charset val="1"/>
    </font>
    <font>
      <b val="true"/>
      <sz val="9"/>
      <color rgb="FFCA6F1E"/>
      <name val="Arial"/>
      <family val="2"/>
      <charset val="1"/>
    </font>
    <font>
      <sz val="9"/>
      <color rgb="FFCA6F1E"/>
      <name val="Arial"/>
      <family val="2"/>
      <charset val="1"/>
    </font>
    <font>
      <b val="true"/>
      <sz val="9"/>
      <color rgb="FFC0392B"/>
      <name val="Arial"/>
      <family val="2"/>
      <charset val="1"/>
    </font>
    <font>
      <sz val="9"/>
      <color rgb="FFC0392B"/>
      <name val="Arial"/>
      <family val="2"/>
      <charset val="1"/>
    </font>
    <font>
      <b val="true"/>
      <sz val="11"/>
      <color rgb="FF2B2F8F"/>
      <name val="Inter"/>
      <family val="0"/>
      <charset val="1"/>
    </font>
    <font>
      <b val="true"/>
      <sz val="10"/>
      <color rgb="FF4B5563"/>
      <name val="Inter"/>
      <family val="0"/>
      <charset val="1"/>
    </font>
    <font>
      <b val="true"/>
      <sz val="10"/>
      <name val="Inter"/>
      <family val="0"/>
      <charset val="1"/>
    </font>
    <font>
      <sz val="10"/>
      <color rgb="FF374151"/>
      <name val="Inter"/>
      <family val="0"/>
      <charset val="1"/>
    </font>
    <font>
      <b val="true"/>
      <sz val="11"/>
      <color rgb="FF2B2F8F"/>
      <name val="Arial"/>
      <family val="0"/>
      <charset val="1"/>
    </font>
    <font>
      <b val="true"/>
      <sz val="10"/>
      <name val="Arial"/>
      <family val="0"/>
      <charset val="1"/>
    </font>
    <font>
      <sz val="9"/>
      <name val="Arial"/>
      <family val="0"/>
      <charset val="1"/>
    </font>
    <font>
      <b val="true"/>
      <sz val="14"/>
      <color rgb="FF1A3C5E"/>
      <name val="Arial"/>
      <family val="0"/>
      <charset val="1"/>
    </font>
    <font>
      <sz val="10"/>
      <color rgb="FF5A6A7A"/>
      <name val="Arial"/>
      <family val="0"/>
      <charset val="1"/>
    </font>
    <font>
      <b val="true"/>
      <sz val="11"/>
      <color rgb="FFFFFFFF"/>
      <name val="Arial"/>
      <family val="0"/>
      <charset val="1"/>
    </font>
    <font>
      <b val="true"/>
      <sz val="10"/>
      <color rgb="FF1A3C5E"/>
      <name val="Arial"/>
      <family val="0"/>
      <charset val="1"/>
    </font>
    <font>
      <sz val="10"/>
      <name val="Arial"/>
      <family val="0"/>
      <charset val="1"/>
    </font>
    <font>
      <sz val="10"/>
      <color rgb="FF1565C0"/>
      <name val="Arial"/>
      <family val="0"/>
      <charset val="1"/>
    </font>
    <font>
      <sz val="10"/>
      <color rgb="FF6A1B9A"/>
      <name val="Arial"/>
      <family val="0"/>
      <charset val="1"/>
    </font>
    <font>
      <sz val="10"/>
      <color rgb="FFC62828"/>
      <name val="Arial"/>
      <family val="0"/>
      <charset val="1"/>
    </font>
    <font>
      <sz val="10"/>
      <color rgb="FFE65100"/>
      <name val="Arial"/>
      <family val="0"/>
      <charset val="1"/>
    </font>
    <font>
      <sz val="10"/>
      <color rgb="FF333333"/>
      <name val="Arial"/>
      <family val="0"/>
      <charset val="1"/>
    </font>
    <font>
      <b val="true"/>
      <sz val="10"/>
      <color rgb="FFB45309"/>
      <name val="Arial"/>
      <family val="0"/>
      <charset val="1"/>
    </font>
    <font>
      <b val="true"/>
      <sz val="9"/>
      <color rgb="FFCC0000"/>
      <name val="Arial"/>
      <family val="0"/>
      <charset val="1"/>
    </font>
    <font>
      <sz val="10"/>
      <color rgb="FF666666"/>
      <name val="Arial"/>
      <family val="0"/>
      <charset val="1"/>
    </font>
    <font>
      <b val="true"/>
      <sz val="9"/>
      <color rgb="FF0000FF"/>
      <name val="Arial"/>
      <family val="0"/>
      <charset val="1"/>
    </font>
    <font>
      <b val="true"/>
      <sz val="9"/>
      <color rgb="FF000000"/>
      <name val="Arial"/>
      <family val="0"/>
      <charset val="1"/>
    </font>
    <font>
      <b val="true"/>
      <sz val="9"/>
      <color rgb="FF6B21A8"/>
      <name val="Arial"/>
      <family val="0"/>
      <charset val="1"/>
    </font>
    <font>
      <b val="true"/>
      <sz val="10"/>
      <color rgb="FF1565C0"/>
      <name val="Arial"/>
      <family val="0"/>
      <charset val="1"/>
    </font>
    <font>
      <b val="true"/>
      <sz val="10"/>
      <color rgb="FFC62828"/>
      <name val="Arial"/>
      <family val="0"/>
      <charset val="1"/>
    </font>
    <font>
      <b val="true"/>
      <sz val="10"/>
      <color rgb="FFE65100"/>
      <name val="Arial"/>
      <family val="0"/>
      <charset val="1"/>
    </font>
    <font>
      <b val="true"/>
      <sz val="10"/>
      <color rgb="FF6A1B9A"/>
      <name val="Arial"/>
      <family val="0"/>
      <charset val="1"/>
    </font>
    <font>
      <b val="true"/>
      <sz val="10"/>
      <color rgb="FF000000"/>
      <name val="Arial"/>
      <family val="0"/>
      <charset val="1"/>
    </font>
    <font>
      <b val="true"/>
      <sz val="11"/>
      <color rgb="FF1A1A2E"/>
      <name val="Arial"/>
      <family val="0"/>
      <charset val="1"/>
    </font>
    <font>
      <i val="true"/>
      <sz val="9"/>
      <color rgb="FF5A6A7A"/>
      <name val="Arial"/>
      <family val="0"/>
      <charset val="1"/>
    </font>
    <font>
      <b val="true"/>
      <sz val="10"/>
      <color rgb="FF16A34A"/>
      <name val="Arial"/>
      <family val="0"/>
      <charset val="1"/>
    </font>
    <font>
      <b val="true"/>
      <sz val="10"/>
      <color rgb="FFD97706"/>
      <name val="Arial"/>
      <family val="0"/>
      <charset val="1"/>
    </font>
    <font>
      <b val="true"/>
      <sz val="14"/>
      <color rgb="FF2563EB"/>
      <name val="Arial"/>
      <family val="0"/>
      <charset val="1"/>
    </font>
    <font>
      <sz val="11"/>
      <color rgb="FF1A3C5E"/>
      <name val="Arial"/>
      <family val="0"/>
      <charset val="1"/>
    </font>
    <font>
      <b val="true"/>
      <sz val="13"/>
      <color rgb="FFFFFFFF"/>
      <name val="Arial"/>
      <family val="2"/>
      <charset val="1"/>
    </font>
  </fonts>
  <fills count="25">
    <fill>
      <patternFill patternType="none"/>
    </fill>
    <fill>
      <patternFill patternType="gray125"/>
    </fill>
    <fill>
      <patternFill patternType="solid">
        <fgColor rgb="FF2B2F8F"/>
        <bgColor rgb="FF1A3C5E"/>
      </patternFill>
    </fill>
    <fill>
      <patternFill patternType="solid">
        <fgColor rgb="FF1A75CB"/>
        <bgColor rgb="FF1565C0"/>
      </patternFill>
    </fill>
    <fill>
      <patternFill patternType="solid">
        <fgColor rgb="FFF4F6FA"/>
        <bgColor rgb="FFF2F2F2"/>
      </patternFill>
    </fill>
    <fill>
      <patternFill patternType="solid">
        <fgColor rgb="FFFFFFFF"/>
        <bgColor rgb="FFFFFBEB"/>
      </patternFill>
    </fill>
    <fill>
      <patternFill patternType="solid">
        <fgColor rgb="FFEEF2FA"/>
        <bgColor rgb="FFF2F2F2"/>
      </patternFill>
    </fill>
    <fill>
      <patternFill patternType="solid">
        <fgColor rgb="FFB8955A"/>
        <bgColor rgb="FFB7950B"/>
      </patternFill>
    </fill>
    <fill>
      <patternFill patternType="solid">
        <fgColor rgb="FFD5F5E3"/>
        <bgColor rgb="FFD5E8F0"/>
      </patternFill>
    </fill>
    <fill>
      <patternFill patternType="solid">
        <fgColor rgb="FFFEF9E7"/>
        <bgColor rgb="FFFFFBEB"/>
      </patternFill>
    </fill>
    <fill>
      <patternFill patternType="solid">
        <fgColor rgb="FFFAE5D3"/>
        <bgColor rgb="FFFFE0E0"/>
      </patternFill>
    </fill>
    <fill>
      <patternFill patternType="solid">
        <fgColor rgb="FFFADBD8"/>
        <bgColor rgb="FFFFE0E0"/>
      </patternFill>
    </fill>
    <fill>
      <patternFill patternType="solid">
        <fgColor rgb="FFF5F0E6"/>
        <bgColor rgb="FFF2F2F2"/>
      </patternFill>
    </fill>
    <fill>
      <patternFill patternType="solid">
        <fgColor rgb="FF1A3C5E"/>
        <bgColor rgb="FF374151"/>
      </patternFill>
    </fill>
    <fill>
      <patternFill patternType="solid">
        <fgColor rgb="FFD5E8F0"/>
        <bgColor rgb="FFD5F5E3"/>
      </patternFill>
    </fill>
    <fill>
      <patternFill patternType="solid">
        <fgColor rgb="FFE3F2FD"/>
        <bgColor rgb="FFEEF2FA"/>
      </patternFill>
    </fill>
    <fill>
      <patternFill patternType="solid">
        <fgColor rgb="FFF3E5F5"/>
        <bgColor rgb="FFF3E8FF"/>
      </patternFill>
    </fill>
    <fill>
      <patternFill patternType="solid">
        <fgColor rgb="FFFFEBEE"/>
        <bgColor rgb="FFF5F0E6"/>
      </patternFill>
    </fill>
    <fill>
      <patternFill patternType="solid">
        <fgColor rgb="FFFFF3E0"/>
        <bgColor rgb="FFFEF9E7"/>
      </patternFill>
    </fill>
    <fill>
      <patternFill patternType="solid">
        <fgColor rgb="FFFFF7ED"/>
        <bgColor rgb="FFFEF9E7"/>
      </patternFill>
    </fill>
    <fill>
      <patternFill patternType="solid">
        <fgColor rgb="FFFFE0E0"/>
        <bgColor rgb="FFFADBD8"/>
      </patternFill>
    </fill>
    <fill>
      <patternFill patternType="solid">
        <fgColor rgb="FFF2F2F2"/>
        <bgColor rgb="FFEEF2FA"/>
      </patternFill>
    </fill>
    <fill>
      <patternFill patternType="solid">
        <fgColor rgb="FFF3E8FF"/>
        <bgColor rgb="FFF3E5F5"/>
      </patternFill>
    </fill>
    <fill>
      <patternFill patternType="solid">
        <fgColor rgb="FFF0FDF4"/>
        <bgColor rgb="FFF4F6FA"/>
      </patternFill>
    </fill>
    <fill>
      <patternFill patternType="solid">
        <fgColor rgb="FFFFFBEB"/>
        <bgColor rgb="FFFEF9E7"/>
      </patternFill>
    </fill>
  </fills>
  <borders count="10">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style="thin">
        <color rgb="FFD0D5DD"/>
      </right>
      <top style="thin">
        <color rgb="FFD0D5DD"/>
      </top>
      <bottom/>
      <diagonal/>
    </border>
    <border diagonalUp="false" diagonalDown="false">
      <left/>
      <right/>
      <top/>
      <bottom style="thin">
        <color rgb="FFCCCCCC"/>
      </bottom>
      <diagonal/>
    </border>
    <border diagonalUp="false" diagonalDown="false">
      <left style="thin">
        <color rgb="FFCCCCCC"/>
      </left>
      <right style="thin">
        <color rgb="FFCCCCCC"/>
      </right>
      <top style="thin">
        <color rgb="FFCCCCCC"/>
      </top>
      <bottom/>
      <diagonal/>
    </border>
    <border diagonalUp="false" diagonalDown="false">
      <left style="thin">
        <color rgb="FFCCCCCC"/>
      </left>
      <right style="thin">
        <color rgb="FFCCCCCC"/>
      </right>
      <top/>
      <bottom style="thin">
        <color rgb="FFCCCCCC"/>
      </bottom>
      <diagonal/>
    </border>
    <border diagonalUp="false" diagonalDown="false">
      <left style="thin">
        <color rgb="FFCCCCCC"/>
      </left>
      <right style="thin">
        <color rgb="FFCCCCCC"/>
      </right>
      <top/>
      <bottom/>
      <diagonal/>
    </border>
    <border diagonalUp="false" diagonalDown="false">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5" fontId="6" fillId="5" borderId="2" xfId="0" applyFont="true" applyBorder="true" applyAlignment="true" applyProtection="false">
      <alignment horizontal="center" vertical="center" textRotation="0" wrapText="true" indent="0" shrinkToFit="false"/>
      <protection locked="true" hidden="false"/>
    </xf>
    <xf numFmtId="166" fontId="10" fillId="5" borderId="2" xfId="0" applyFont="true" applyBorder="true" applyAlignment="true" applyProtection="false">
      <alignment horizontal="center" vertical="center" textRotation="0" wrapText="true" indent="0" shrinkToFit="false"/>
      <protection locked="true" hidden="false"/>
    </xf>
    <xf numFmtId="167" fontId="10" fillId="5"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5" fontId="6" fillId="6" borderId="2" xfId="0" applyFont="true" applyBorder="true" applyAlignment="true" applyProtection="false">
      <alignment horizontal="center" vertical="center" textRotation="0" wrapText="true" indent="0" shrinkToFit="false"/>
      <protection locked="true" hidden="false"/>
    </xf>
    <xf numFmtId="166" fontId="10" fillId="6" borderId="2" xfId="0" applyFont="true" applyBorder="true" applyAlignment="true" applyProtection="false">
      <alignment horizontal="center" vertical="center" textRotation="0" wrapText="true" indent="0" shrinkToFit="false"/>
      <protection locked="true" hidden="false"/>
    </xf>
    <xf numFmtId="167" fontId="10" fillId="6"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6" fontId="9" fillId="7" borderId="2" xfId="0" applyFont="true" applyBorder="true" applyAlignment="true" applyProtection="false">
      <alignment horizontal="center" vertical="center" textRotation="0" wrapText="true" indent="0" shrinkToFit="false"/>
      <protection locked="true" hidden="false"/>
    </xf>
    <xf numFmtId="167" fontId="9" fillId="7"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8" fontId="15" fillId="4" borderId="2" xfId="0" applyFont="true" applyBorder="true" applyAlignment="true" applyProtection="false">
      <alignment horizontal="center" vertical="center" textRotation="0" wrapText="tru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5" borderId="2" xfId="0" applyFont="true" applyBorder="true" applyAlignment="true" applyProtection="false">
      <alignment horizontal="left" vertical="center" textRotation="0" wrapText="true" indent="0" shrinkToFit="false"/>
      <protection locked="true" hidden="false"/>
    </xf>
    <xf numFmtId="165" fontId="20" fillId="8" borderId="2" xfId="0" applyFont="true" applyBorder="true" applyAlignment="true" applyProtection="false">
      <alignment horizontal="center" vertical="center" textRotation="0" wrapText="true" indent="0" shrinkToFit="false"/>
      <protection locked="true" hidden="false"/>
    </xf>
    <xf numFmtId="164" fontId="21" fillId="8" borderId="2" xfId="0" applyFont="true" applyBorder="true" applyAlignment="true" applyProtection="false">
      <alignment horizontal="center" vertical="center" textRotation="0" wrapText="true" indent="0" shrinkToFit="false"/>
      <protection locked="true" hidden="false"/>
    </xf>
    <xf numFmtId="164" fontId="19" fillId="6" borderId="2" xfId="0" applyFont="true" applyBorder="true" applyAlignment="true" applyProtection="false">
      <alignment horizontal="left" vertical="center" textRotation="0" wrapText="true" indent="0" shrinkToFit="false"/>
      <protection locked="true" hidden="false"/>
    </xf>
    <xf numFmtId="165" fontId="22" fillId="9" borderId="2" xfId="0" applyFont="true" applyBorder="true" applyAlignment="true" applyProtection="false">
      <alignment horizontal="center" vertical="center" textRotation="0" wrapText="tru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5" fontId="24" fillId="10" borderId="2" xfId="0" applyFont="true" applyBorder="true" applyAlignment="true" applyProtection="false">
      <alignment horizontal="center" vertical="center" textRotation="0" wrapText="true" indent="0" shrinkToFit="false"/>
      <protection locked="true" hidden="false"/>
    </xf>
    <xf numFmtId="164" fontId="25" fillId="10" borderId="2" xfId="0" applyFont="true" applyBorder="true" applyAlignment="true" applyProtection="false">
      <alignment horizontal="center" vertical="center" textRotation="0" wrapText="true" indent="0" shrinkToFit="false"/>
      <protection locked="true" hidden="false"/>
    </xf>
    <xf numFmtId="165" fontId="26" fillId="11" borderId="2" xfId="0" applyFont="true" applyBorder="true" applyAlignment="true" applyProtection="false">
      <alignment horizontal="center" vertical="center" textRotation="0" wrapText="true" indent="0" shrinkToFit="false"/>
      <protection locked="true" hidden="false"/>
    </xf>
    <xf numFmtId="164" fontId="27" fillId="11" borderId="2"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2" fillId="12"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19" fillId="5" borderId="2" xfId="0" applyFont="true" applyBorder="true" applyAlignment="true" applyProtection="false">
      <alignment horizontal="center" vertical="center" textRotation="0" wrapText="true" indent="0" shrinkToFit="false"/>
      <protection locked="true" hidden="false"/>
    </xf>
    <xf numFmtId="164" fontId="20" fillId="8" borderId="2" xfId="0" applyFont="true" applyBorder="true" applyAlignment="true" applyProtection="false">
      <alignment horizontal="center" vertical="center" textRotation="0" wrapText="true" indent="0" shrinkToFit="false"/>
      <protection locked="true" hidden="false"/>
    </xf>
    <xf numFmtId="164" fontId="19" fillId="6" borderId="2" xfId="0" applyFont="true" applyBorder="true" applyAlignment="true" applyProtection="false">
      <alignment horizontal="center" vertical="center" textRotation="0" wrapText="true" indent="0" shrinkToFit="false"/>
      <protection locked="true" hidden="false"/>
    </xf>
    <xf numFmtId="164" fontId="22" fillId="9" borderId="2" xfId="0" applyFont="true" applyBorder="true" applyAlignment="true" applyProtection="false">
      <alignment horizontal="center" vertical="center" textRotation="0" wrapText="tru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26" fillId="11" borderId="2"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true" applyAlignment="true" applyProtection="false">
      <alignment horizontal="general" vertical="center" textRotation="0" wrapText="false" indent="0" shrinkToFit="false"/>
      <protection locked="true" hidden="false"/>
    </xf>
    <xf numFmtId="164" fontId="36" fillId="0" borderId="0" xfId="0" applyFont="true" applyBorder="true" applyAlignment="true" applyProtection="false">
      <alignment horizontal="general" vertical="bottom" textRotation="0" wrapText="false" indent="0" shrinkToFit="false"/>
      <protection locked="true" hidden="false"/>
    </xf>
    <xf numFmtId="164" fontId="37" fillId="13" borderId="0" xfId="0" applyFont="true" applyBorder="true" applyAlignment="true" applyProtection="false">
      <alignment horizontal="general" vertical="center" textRotation="0" wrapText="false" indent="0" shrinkToFit="false"/>
      <protection locked="true" hidden="false"/>
    </xf>
    <xf numFmtId="164" fontId="38" fillId="14" borderId="2" xfId="0" applyFont="true" applyBorder="true" applyAlignment="true" applyProtection="false">
      <alignment horizontal="center" vertical="center" textRotation="0" wrapText="true" indent="0" shrinkToFit="false"/>
      <protection locked="true" hidden="false"/>
    </xf>
    <xf numFmtId="164" fontId="39" fillId="0" borderId="2" xfId="0" applyFont="true" applyBorder="true" applyAlignment="true" applyProtection="false">
      <alignment horizontal="center" vertical="center" textRotation="0" wrapText="true" indent="0" shrinkToFit="false"/>
      <protection locked="true" hidden="false"/>
    </xf>
    <xf numFmtId="164" fontId="33" fillId="0" borderId="2" xfId="0" applyFont="true" applyBorder="true" applyAlignment="true" applyProtection="false">
      <alignment horizontal="general" vertical="top" textRotation="0" wrapText="true" indent="0" shrinkToFit="false"/>
      <protection locked="true" hidden="false"/>
    </xf>
    <xf numFmtId="164" fontId="39" fillId="0" borderId="2" xfId="0" applyFont="true" applyBorder="true" applyAlignment="true" applyProtection="false">
      <alignment horizontal="general" vertical="top" textRotation="0" wrapText="true" indent="0" shrinkToFit="false"/>
      <protection locked="true" hidden="false"/>
    </xf>
    <xf numFmtId="164" fontId="40" fillId="15" borderId="2" xfId="0" applyFont="true" applyBorder="true" applyAlignment="true" applyProtection="false">
      <alignment horizontal="center" vertical="center" textRotation="0" wrapText="true" indent="0" shrinkToFit="false"/>
      <protection locked="true" hidden="false"/>
    </xf>
    <xf numFmtId="164" fontId="41" fillId="16" borderId="2" xfId="0" applyFont="true" applyBorder="true" applyAlignment="true" applyProtection="false">
      <alignment horizontal="center" vertical="center" textRotation="0" wrapText="true" indent="0" shrinkToFit="false"/>
      <protection locked="true" hidden="false"/>
    </xf>
    <xf numFmtId="164" fontId="42" fillId="17" borderId="2" xfId="0" applyFont="true" applyBorder="true" applyAlignment="true" applyProtection="false">
      <alignment horizontal="center" vertical="center" textRotation="0" wrapText="true" indent="0" shrinkToFit="false"/>
      <protection locked="true" hidden="false"/>
    </xf>
    <xf numFmtId="164" fontId="43" fillId="18" borderId="2" xfId="0" applyFont="true" applyBorder="true" applyAlignment="true" applyProtection="false">
      <alignment horizontal="center" vertical="center" textRotation="0" wrapText="true" indent="0" shrinkToFit="false"/>
      <protection locked="true" hidden="false"/>
    </xf>
    <xf numFmtId="164" fontId="44" fillId="0" borderId="3" xfId="0" applyFont="true" applyBorder="true" applyAlignment="true" applyProtection="false">
      <alignment horizontal="center" vertical="center" textRotation="0" wrapText="true" indent="0" shrinkToFit="false"/>
      <protection locked="true" hidden="false"/>
    </xf>
    <xf numFmtId="164" fontId="45" fillId="19" borderId="3" xfId="0" applyFont="true" applyBorder="true" applyAlignment="true" applyProtection="false">
      <alignment horizontal="general" vertical="center" textRotation="0" wrapText="true" indent="0" shrinkToFit="false"/>
      <protection locked="true" hidden="false"/>
    </xf>
    <xf numFmtId="164" fontId="44" fillId="0" borderId="3" xfId="0" applyFont="true" applyBorder="true" applyAlignment="true" applyProtection="false">
      <alignment horizontal="general" vertical="center" textRotation="0" wrapText="true" indent="0" shrinkToFit="false"/>
      <protection locked="true" hidden="false"/>
    </xf>
    <xf numFmtId="164" fontId="46" fillId="20" borderId="3" xfId="0" applyFont="true" applyBorder="true" applyAlignment="true" applyProtection="false">
      <alignment horizontal="center" vertical="center" textRotation="0" wrapText="true" indent="0" shrinkToFit="false"/>
      <protection locked="true" hidden="false"/>
    </xf>
    <xf numFmtId="164" fontId="47" fillId="0" borderId="3" xfId="0" applyFont="true" applyBorder="true" applyAlignment="true" applyProtection="false">
      <alignment horizontal="general" vertical="center" textRotation="0" wrapText="true" indent="0" shrinkToFit="false"/>
      <protection locked="true" hidden="false"/>
    </xf>
    <xf numFmtId="164" fontId="0" fillId="19" borderId="3" xfId="0" applyFont="false" applyBorder="true" applyAlignment="false" applyProtection="false">
      <alignment horizontal="general" vertical="bottom" textRotation="0" wrapText="false" indent="0" shrinkToFit="false"/>
      <protection locked="true" hidden="false"/>
    </xf>
    <xf numFmtId="164" fontId="49" fillId="21" borderId="3" xfId="0" applyFont="true" applyBorder="true" applyAlignment="true" applyProtection="false">
      <alignment horizontal="center" vertical="center" textRotation="0" wrapText="true" indent="0" shrinkToFit="false"/>
      <protection locked="true" hidden="false"/>
    </xf>
    <xf numFmtId="164" fontId="0" fillId="19" borderId="4" xfId="0" applyFont="false" applyBorder="true" applyAlignment="false" applyProtection="false">
      <alignment horizontal="general" vertical="bottom" textRotation="0" wrapText="false" indent="0" shrinkToFit="false"/>
      <protection locked="true" hidden="false"/>
    </xf>
    <xf numFmtId="164" fontId="50" fillId="22" borderId="3" xfId="0" applyFont="true" applyBorder="true" applyAlignment="true" applyProtection="false">
      <alignment horizontal="center" vertical="center" textRotation="0" wrapText="true" indent="0" shrinkToFit="false"/>
      <protection locked="true" hidden="false"/>
    </xf>
    <xf numFmtId="164" fontId="37" fillId="13" borderId="0" xfId="0" applyFont="true" applyBorder="false" applyAlignment="true" applyProtection="false">
      <alignment horizontal="general" vertical="center"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33" fillId="0" borderId="6" xfId="0" applyFont="true" applyBorder="true" applyAlignment="true" applyProtection="false">
      <alignment horizontal="general"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51" fillId="15" borderId="2" xfId="0" applyFont="true" applyBorder="true" applyAlignment="true" applyProtection="false">
      <alignment horizontal="center" vertical="center" textRotation="0" wrapText="true" indent="0" shrinkToFit="false"/>
      <protection locked="true" hidden="false"/>
    </xf>
    <xf numFmtId="164" fontId="39" fillId="0" borderId="1" xfId="0" applyFont="true" applyBorder="true" applyAlignment="true" applyProtection="false">
      <alignment horizontal="general" vertical="top" textRotation="0" wrapText="tru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52" fillId="17" borderId="2" xfId="0" applyFont="true" applyBorder="true" applyAlignment="true" applyProtection="false">
      <alignment horizontal="center" vertical="center" textRotation="0" wrapText="true" indent="0" shrinkToFit="false"/>
      <protection locked="true" hidden="false"/>
    </xf>
    <xf numFmtId="164" fontId="53" fillId="18" borderId="2" xfId="0" applyFont="true" applyBorder="true" applyAlignment="true" applyProtection="false">
      <alignment horizontal="center" vertical="center" textRotation="0" wrapText="true" indent="0" shrinkToFit="false"/>
      <protection locked="true" hidden="false"/>
    </xf>
    <xf numFmtId="164" fontId="54" fillId="16" borderId="2" xfId="0" applyFont="true" applyBorder="true" applyAlignment="true" applyProtection="false">
      <alignment horizontal="center" vertical="center" textRotation="0" wrapText="true" indent="0" shrinkToFit="false"/>
      <protection locked="true" hidden="false"/>
    </xf>
    <xf numFmtId="164" fontId="55" fillId="5" borderId="2" xfId="0" applyFont="true" applyBorder="true" applyAlignment="true" applyProtection="false">
      <alignment horizontal="center" vertical="center" textRotation="0" wrapText="tru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general" vertical="bottom" textRotation="0" wrapText="false" indent="0" shrinkToFit="false"/>
      <protection locked="true" hidden="false"/>
    </xf>
    <xf numFmtId="164" fontId="33" fillId="0" borderId="2" xfId="0" applyFont="true" applyBorder="true" applyAlignment="true" applyProtection="false">
      <alignment horizontal="center" vertical="center" textRotation="0" wrapText="true" indent="0" shrinkToFit="false"/>
      <protection locked="true" hidden="false"/>
    </xf>
    <xf numFmtId="164" fontId="58" fillId="23" borderId="2" xfId="0" applyFont="true" applyBorder="true" applyAlignment="true" applyProtection="false">
      <alignment horizontal="center" vertical="center" textRotation="0" wrapText="true" indent="0" shrinkToFit="false"/>
      <protection locked="true" hidden="false"/>
    </xf>
    <xf numFmtId="164" fontId="59" fillId="24" borderId="2" xfId="0" applyFont="true" applyBorder="true" applyAlignment="true" applyProtection="false">
      <alignment horizontal="center" vertical="center" textRotation="0" wrapText="true" indent="0" shrinkToFit="false"/>
      <protection locked="true" hidden="false"/>
    </xf>
    <xf numFmtId="164" fontId="60" fillId="0" borderId="2" xfId="0" applyFont="true" applyBorder="true" applyAlignment="true" applyProtection="false">
      <alignment horizontal="center" vertical="center" textRotation="0" wrapText="true" indent="0" shrinkToFit="false"/>
      <protection locked="true" hidden="false"/>
    </xf>
    <xf numFmtId="164" fontId="37" fillId="13" borderId="0" xfId="0" applyFont="true" applyBorder="true" applyAlignment="tru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general" vertical="top" textRotation="0" wrapText="true" indent="0" shrinkToFit="false"/>
      <protection locked="true" hidden="false"/>
    </xf>
    <xf numFmtId="164" fontId="38" fillId="0" borderId="0" xfId="0" applyFont="true" applyBorder="true" applyAlignment="true" applyProtection="false">
      <alignment horizontal="general" vertical="bottom" textRotation="0" wrapText="false" indent="0" shrinkToFit="false"/>
      <protection locked="true" hidden="false"/>
    </xf>
    <xf numFmtId="164" fontId="62" fillId="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1E8449"/>
        <sz val="10"/>
      </font>
      <fill>
        <patternFill>
          <bgColor rgb="FFD5F5E3"/>
        </patternFill>
      </fill>
    </dxf>
    <dxf>
      <font>
        <name val="Arial"/>
        <charset val="1"/>
        <family val="0"/>
        <b val="1"/>
        <color rgb="FFB7950B"/>
        <sz val="10"/>
      </font>
      <fill>
        <patternFill>
          <bgColor rgb="FFFEF9E7"/>
        </patternFill>
      </fill>
    </dxf>
    <dxf>
      <font>
        <name val="Arial"/>
        <charset val="1"/>
        <family val="0"/>
        <b val="1"/>
        <color rgb="FFCA6F1E"/>
        <sz val="10"/>
      </font>
      <fill>
        <patternFill>
          <bgColor rgb="FFFAE5D3"/>
        </patternFill>
      </fill>
    </dxf>
    <dxf>
      <font>
        <name val="Arial"/>
        <charset val="1"/>
        <family val="0"/>
        <b val="1"/>
        <color rgb="FFC0392B"/>
        <sz val="10"/>
      </font>
      <fill>
        <patternFill>
          <bgColor rgb="FFFADBD8"/>
        </patternFill>
      </fill>
    </dxf>
    <dxf>
      <font>
        <name val="Arial"/>
        <charset val="1"/>
        <family val="0"/>
        <b val="1"/>
        <color rgb="FFC0392B"/>
        <sz val="14"/>
      </font>
      <fill>
        <patternFill>
          <bgColor rgb="FFFADBD8"/>
        </patternFill>
      </fill>
    </dxf>
    <dxf>
      <font>
        <name val="Arial"/>
        <charset val="1"/>
        <family val="0"/>
        <b val="1"/>
        <color rgb="FFB7950B"/>
        <sz val="14"/>
      </font>
      <fill>
        <patternFill>
          <bgColor rgb="FFFEF9E7"/>
        </patternFill>
      </fill>
    </dxf>
    <dxf>
      <font>
        <name val="Arial"/>
        <charset val="1"/>
        <family val="0"/>
        <b val="1"/>
        <color rgb="FF1E8449"/>
        <sz val="14"/>
      </font>
      <fill>
        <patternFill>
          <bgColor rgb="FFD5F5E3"/>
        </patternFill>
      </fill>
    </dxf>
    <dxf>
      <font>
        <name val="Arial"/>
        <charset val="1"/>
        <family val="0"/>
        <b val="1"/>
        <color rgb="FF1A1D2E"/>
        <sz val="14"/>
      </font>
      <fill>
        <patternFill>
          <bgColor rgb="FFF4F6FA"/>
        </patternFill>
      </fill>
    </dxf>
    <dxf>
      <font>
        <name val="Arial"/>
        <charset val="1"/>
        <family val="0"/>
        <b val="1"/>
        <color rgb="FFC0392B"/>
        <sz val="12"/>
      </font>
      <fill>
        <patternFill>
          <bgColor rgb="FFFADBD8"/>
        </patternFill>
      </fill>
    </dxf>
    <dxf>
      <font>
        <name val="Arial"/>
        <charset val="1"/>
        <family val="0"/>
        <b val="1"/>
        <color rgb="FFB7950B"/>
        <sz val="12"/>
      </font>
      <fill>
        <patternFill>
          <bgColor rgb="FFFEF9E7"/>
        </patternFill>
      </fill>
    </dxf>
    <dxf>
      <font>
        <name val="Arial"/>
        <charset val="1"/>
        <family val="0"/>
        <b val="1"/>
        <color rgb="FF1E8449"/>
        <sz val="12"/>
      </font>
      <fill>
        <patternFill>
          <bgColor rgb="FFD5F5E3"/>
        </patternFill>
      </fill>
    </dxf>
  </dxfs>
  <colors>
    <indexedColors>
      <rgbColor rgb="FF000000"/>
      <rgbColor rgb="FFFFFFFF"/>
      <rgbColor rgb="FFCC0000"/>
      <rgbColor rgb="FFFFF7ED"/>
      <rgbColor rgb="FF0000FF"/>
      <rgbColor rgb="FFF5F0E6"/>
      <rgbColor rgb="FFFF00FF"/>
      <rgbColor rgb="FFF0FDF4"/>
      <rgbColor rgb="FF800000"/>
      <rgbColor rgb="FF4B5563"/>
      <rgbColor rgb="FF000080"/>
      <rgbColor rgb="FFB7950B"/>
      <rgbColor rgb="FF6A1B9A"/>
      <rgbColor rgb="FF1E8449"/>
      <rgbColor rgb="FFCCCCCC"/>
      <rgbColor rgb="FF888888"/>
      <rgbColor rgb="FF666666"/>
      <rgbColor rgb="FFC62828"/>
      <rgbColor rgb="FFFEF9E7"/>
      <rgbColor rgb="FFE3F2FD"/>
      <rgbColor rgb="FF374151"/>
      <rgbColor rgb="FFCA6F1E"/>
      <rgbColor rgb="FF1565C0"/>
      <rgbColor rgb="FFD0D5DD"/>
      <rgbColor rgb="FF000080"/>
      <rgbColor rgb="FFFF00FF"/>
      <rgbColor rgb="FFFFFBEB"/>
      <rgbColor rgb="FFF4F6FA"/>
      <rgbColor rgb="FF6B21A8"/>
      <rgbColor rgb="FF800000"/>
      <rgbColor rgb="FF1A75CB"/>
      <rgbColor rgb="FF0000FF"/>
      <rgbColor rgb="FFFFEBEE"/>
      <rgbColor rgb="FFD5E8F0"/>
      <rgbColor rgb="FFD5F5E3"/>
      <rgbColor rgb="FFFFF3E0"/>
      <rgbColor rgb="FFF3E5F5"/>
      <rgbColor rgb="FFFFE0E0"/>
      <rgbColor rgb="FFF3E8FF"/>
      <rgbColor rgb="FFFADBD8"/>
      <rgbColor rgb="FF2563EB"/>
      <rgbColor rgb="FFEEF2FA"/>
      <rgbColor rgb="FFF2F2F2"/>
      <rgbColor rgb="FFFAE5D3"/>
      <rgbColor rgb="FFD97706"/>
      <rgbColor rgb="FFE65100"/>
      <rgbColor rgb="FF5A6A7A"/>
      <rgbColor rgb="FFB8955A"/>
      <rgbColor rgb="FF1A3C5E"/>
      <rgbColor rgb="FF16A34A"/>
      <rgbColor rgb="FF1A1A2E"/>
      <rgbColor rgb="FF1A1D2E"/>
      <rgbColor rgb="FFC0392B"/>
      <rgbColor rgb="FFB45309"/>
      <rgbColor rgb="FF2B2F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false" showRowColHeaders="true" showZeros="true" rightToLeft="false" tabSelected="true" showOutlineSymbols="true" defaultGridColor="true" view="normal" topLeftCell="A19" colorId="64" zoomScale="100" zoomScaleNormal="100" zoomScalePageLayoutView="100" workbookViewId="0">
      <selection pane="topLeft" activeCell="B41" activeCellId="0" sqref="B41"/>
    </sheetView>
  </sheetViews>
  <sheetFormatPr defaultColWidth="8.66796875" defaultRowHeight="15" customHeight="true" zeroHeight="false" outlineLevelRow="0" outlineLevelCol="0"/>
  <cols>
    <col collapsed="false" customWidth="true" hidden="false" outlineLevel="0" max="1" min="1" style="1" width="44"/>
    <col collapsed="false" customWidth="true" hidden="false" outlineLevel="0" max="2" min="2" style="1" width="50"/>
    <col collapsed="false" customWidth="true" hidden="false" outlineLevel="0" max="3" min="3" style="1" width="14"/>
    <col collapsed="false" customWidth="true" hidden="false" outlineLevel="0" max="5" min="4" style="1" width="16"/>
  </cols>
  <sheetData>
    <row r="1" customFormat="false" ht="43.5" hidden="false" customHeight="true" outlineLevel="0" collapsed="false">
      <c r="A1" s="2" t="s">
        <v>0</v>
      </c>
      <c r="B1" s="2"/>
      <c r="C1" s="2"/>
      <c r="D1" s="2"/>
      <c r="E1" s="2"/>
    </row>
    <row r="2" customFormat="false" ht="21.75" hidden="false" customHeight="true" outlineLevel="0" collapsed="false">
      <c r="A2" s="3" t="s">
        <v>1</v>
      </c>
      <c r="B2" s="3"/>
      <c r="C2" s="3"/>
      <c r="D2" s="3"/>
      <c r="E2" s="3"/>
    </row>
    <row r="4" customFormat="false" ht="19.5" hidden="false" customHeight="true" outlineLevel="0" collapsed="false">
      <c r="A4" s="4" t="s">
        <v>2</v>
      </c>
      <c r="B4" s="5"/>
      <c r="C4" s="5"/>
      <c r="D4" s="5"/>
      <c r="E4" s="5"/>
    </row>
    <row r="5" customFormat="false" ht="19.5" hidden="false" customHeight="true" outlineLevel="0" collapsed="false">
      <c r="A5" s="4" t="s">
        <v>3</v>
      </c>
      <c r="B5" s="5"/>
      <c r="C5" s="5"/>
      <c r="D5" s="5"/>
      <c r="E5" s="5"/>
    </row>
    <row r="6" customFormat="false" ht="19.5" hidden="false" customHeight="true" outlineLevel="0" collapsed="false">
      <c r="A6" s="4" t="s">
        <v>4</v>
      </c>
      <c r="B6" s="5" t="s">
        <v>5</v>
      </c>
      <c r="C6" s="5"/>
      <c r="D6" s="5"/>
      <c r="E6" s="5"/>
    </row>
    <row r="7" customFormat="false" ht="19.5" hidden="false" customHeight="true" outlineLevel="0" collapsed="false">
      <c r="A7" s="4" t="s">
        <v>6</v>
      </c>
      <c r="B7" s="5"/>
      <c r="C7" s="5"/>
      <c r="D7" s="5"/>
      <c r="E7" s="5"/>
    </row>
    <row r="8" customFormat="false" ht="6" hidden="false" customHeight="true" outlineLevel="0" collapsed="false"/>
    <row r="9" customFormat="false" ht="21.75" hidden="false" customHeight="true" outlineLevel="0" collapsed="false">
      <c r="A9" s="6" t="s">
        <v>7</v>
      </c>
      <c r="B9" s="6" t="s">
        <v>8</v>
      </c>
      <c r="C9" s="6" t="s">
        <v>9</v>
      </c>
      <c r="D9" s="6" t="s">
        <v>10</v>
      </c>
      <c r="E9" s="6" t="s">
        <v>11</v>
      </c>
    </row>
    <row r="10" customFormat="false" ht="21.75" hidden="false" customHeight="true" outlineLevel="0" collapsed="false">
      <c r="A10" s="7" t="s">
        <v>12</v>
      </c>
      <c r="B10" s="7"/>
      <c r="C10" s="7"/>
      <c r="D10" s="7"/>
      <c r="E10" s="7"/>
    </row>
    <row r="11" customFormat="false" ht="19.5" hidden="false" customHeight="true" outlineLevel="0" collapsed="false">
      <c r="A11" s="8" t="s">
        <v>13</v>
      </c>
      <c r="B11" s="9" t="s">
        <v>14</v>
      </c>
      <c r="C11" s="10" t="n">
        <f aca="false">IFERROR(VLOOKUP(B11,'Score Reference'!$A$3:$B$11,2,FALSE()),0)</f>
        <v>3</v>
      </c>
      <c r="D11" s="11" t="n">
        <v>0.2</v>
      </c>
      <c r="E11" s="12" t="n">
        <f aca="false">IF(ISNUMBER(C11),C11*D11,0)</f>
        <v>0.6</v>
      </c>
    </row>
    <row r="12" customFormat="false" ht="19.5" hidden="false" customHeight="true" outlineLevel="0" collapsed="false">
      <c r="A12" s="13" t="s">
        <v>15</v>
      </c>
      <c r="B12" s="9" t="s">
        <v>16</v>
      </c>
      <c r="C12" s="14" t="n">
        <f aca="false">IFERROR(VLOOKUP(B12,'Score Reference'!$A$16:$B$19,2,FALSE()),0)</f>
        <v>1</v>
      </c>
      <c r="D12" s="15" t="n">
        <v>0.2</v>
      </c>
      <c r="E12" s="16" t="n">
        <f aca="false">IF(ISNUMBER(C12),C12*D12,0)</f>
        <v>0.2</v>
      </c>
    </row>
    <row r="13" customFormat="false" ht="19.5" hidden="false" customHeight="true" outlineLevel="0" collapsed="false">
      <c r="A13" s="8" t="s">
        <v>17</v>
      </c>
      <c r="B13" s="9" t="s">
        <v>18</v>
      </c>
      <c r="C13" s="10" t="n">
        <f aca="false">IFERROR(VLOOKUP(B13,'Score Reference'!$A$24:$B$27,2,FALSE()),0)</f>
        <v>1</v>
      </c>
      <c r="D13" s="11" t="n">
        <v>0.25</v>
      </c>
      <c r="E13" s="12" t="n">
        <f aca="false">IF(ISNUMBER(C13),C13*D13,0)</f>
        <v>0.25</v>
      </c>
    </row>
    <row r="14" customFormat="false" ht="19.5" hidden="false" customHeight="true" outlineLevel="0" collapsed="false">
      <c r="A14" s="13" t="s">
        <v>19</v>
      </c>
      <c r="B14" s="9" t="s">
        <v>20</v>
      </c>
      <c r="C14" s="14" t="n">
        <f aca="false">IFERROR(VLOOKUP(B14,'Score Reference'!$A$32:$B$34,2,FALSE()),0)</f>
        <v>2</v>
      </c>
      <c r="D14" s="15" t="n">
        <v>0.15</v>
      </c>
      <c r="E14" s="16" t="n">
        <f aca="false">IF(ISNUMBER(C14),C14*D14,0)</f>
        <v>0.3</v>
      </c>
    </row>
    <row r="15" customFormat="false" ht="21.75" hidden="false" customHeight="true" outlineLevel="0" collapsed="false">
      <c r="A15" s="13" t="s">
        <v>21</v>
      </c>
      <c r="B15" s="9" t="s">
        <v>22</v>
      </c>
      <c r="C15" s="14" t="n">
        <f aca="false">IFERROR(VLOOKUP(B15,'Score Reference'!$A$136:$B$143,2,FALSE()),"")</f>
        <v>2</v>
      </c>
      <c r="D15" s="15" t="n">
        <v>0.1</v>
      </c>
      <c r="E15" s="16" t="n">
        <f aca="false">IF(ISNUMBER(C15),C15*D15,0)</f>
        <v>0.2</v>
      </c>
    </row>
    <row r="16" customFormat="false" ht="15.75" hidden="false" customHeight="true" outlineLevel="0" collapsed="false">
      <c r="A16" s="13" t="s">
        <v>23</v>
      </c>
      <c r="B16" s="9" t="s">
        <v>24</v>
      </c>
      <c r="C16" s="14" t="n">
        <f aca="false">IFERROR(VLOOKUP(B16,'Score Reference'!$A$147:$B$155,2,FALSE()),"")</f>
        <v>1</v>
      </c>
      <c r="D16" s="15" t="n">
        <v>0.1</v>
      </c>
      <c r="E16" s="16" t="n">
        <f aca="false">IF(ISNUMBER(C16),C16*D16,0)</f>
        <v>0.1</v>
      </c>
    </row>
    <row r="17" customFormat="false" ht="21.75" hidden="false" customHeight="true" outlineLevel="0" collapsed="false">
      <c r="A17" s="17" t="s">
        <v>25</v>
      </c>
      <c r="B17" s="18" t="s">
        <v>26</v>
      </c>
      <c r="C17" s="18"/>
      <c r="D17" s="19" t="n">
        <v>0.3</v>
      </c>
      <c r="E17" s="20" t="n">
        <f aca="false">IFERROR(SUMPRODUCT(C11:C16,D11:D16),0)</f>
        <v>1.65</v>
      </c>
    </row>
    <row r="18" customFormat="false" ht="19.5" hidden="false" customHeight="true" outlineLevel="0" collapsed="false"/>
    <row r="19" customFormat="false" ht="19.5" hidden="false" customHeight="true" outlineLevel="0" collapsed="false">
      <c r="A19" s="7" t="s">
        <v>27</v>
      </c>
      <c r="B19" s="7"/>
      <c r="C19" s="7"/>
      <c r="D19" s="7"/>
      <c r="E19" s="7"/>
    </row>
    <row r="20" customFormat="false" ht="19.5" hidden="false" customHeight="true" outlineLevel="0" collapsed="false">
      <c r="A20" s="8" t="s">
        <v>28</v>
      </c>
      <c r="B20" s="9" t="s">
        <v>29</v>
      </c>
      <c r="C20" s="10" t="n">
        <f aca="false">IFERROR(VLOOKUP(B20,'Score Reference'!$A$40:$B$43,2,FALSE()),0)</f>
        <v>1</v>
      </c>
      <c r="D20" s="11" t="n">
        <v>0.35</v>
      </c>
      <c r="E20" s="12" t="n">
        <f aca="false">IF(ISNUMBER(C20),C20*D20,0)</f>
        <v>0.35</v>
      </c>
    </row>
    <row r="21" customFormat="false" ht="21.75" hidden="false" customHeight="true" outlineLevel="0" collapsed="false">
      <c r="A21" s="13" t="s">
        <v>30</v>
      </c>
      <c r="B21" s="9"/>
      <c r="C21" s="14" t="n">
        <f aca="false">IFERROR(VLOOKUP(B21,'Score Reference'!$A$48:$B$51,2,FALSE()),0)</f>
        <v>0</v>
      </c>
      <c r="D21" s="15" t="n">
        <v>0.35</v>
      </c>
      <c r="E21" s="16" t="n">
        <f aca="false">IF(ISNUMBER(C21),C21*D21,0)</f>
        <v>0</v>
      </c>
    </row>
    <row r="22" customFormat="false" ht="18" hidden="false" customHeight="true" outlineLevel="0" collapsed="false">
      <c r="A22" s="8" t="s">
        <v>31</v>
      </c>
      <c r="B22" s="9"/>
      <c r="C22" s="10" t="n">
        <f aca="false">IFERROR(VLOOKUP(B22,'Score Reference'!$A$56:$B$59,2,FALSE()),0)</f>
        <v>0</v>
      </c>
      <c r="D22" s="11" t="n">
        <v>0.3</v>
      </c>
      <c r="E22" s="12" t="n">
        <f aca="false">IF(ISNUMBER(C22),C22*D22,0)</f>
        <v>0</v>
      </c>
    </row>
    <row r="23" customFormat="false" ht="21.75" hidden="false" customHeight="true" outlineLevel="0" collapsed="false">
      <c r="A23" s="17" t="s">
        <v>32</v>
      </c>
      <c r="B23" s="18" t="s">
        <v>26</v>
      </c>
      <c r="C23" s="18"/>
      <c r="D23" s="19" t="n">
        <v>0.25</v>
      </c>
      <c r="E23" s="20" t="n">
        <f aca="false">IFERROR(SUMPRODUCT(C20:C22,D20:D22),0)</f>
        <v>0.35</v>
      </c>
    </row>
    <row r="24" customFormat="false" ht="19.5" hidden="false" customHeight="true" outlineLevel="0" collapsed="false"/>
    <row r="25" customFormat="false" ht="19.5" hidden="false" customHeight="true" outlineLevel="0" collapsed="false">
      <c r="A25" s="7" t="s">
        <v>33</v>
      </c>
      <c r="B25" s="7"/>
      <c r="C25" s="7"/>
      <c r="D25" s="7"/>
      <c r="E25" s="7"/>
    </row>
    <row r="26" customFormat="false" ht="19.5" hidden="false" customHeight="true" outlineLevel="0" collapsed="false">
      <c r="A26" s="8" t="s">
        <v>34</v>
      </c>
      <c r="B26" s="9"/>
      <c r="C26" s="10" t="n">
        <f aca="false">IFERROR(VLOOKUP(B26,'Score Reference'!$A$65:$B$67,2,FALSE()),0)</f>
        <v>0</v>
      </c>
      <c r="D26" s="11" t="n">
        <v>0.4</v>
      </c>
      <c r="E26" s="12" t="n">
        <f aca="false">IF(ISNUMBER(C26),C26*D26,0)</f>
        <v>0</v>
      </c>
    </row>
    <row r="27" customFormat="false" ht="21.75" hidden="false" customHeight="true" outlineLevel="0" collapsed="false">
      <c r="A27" s="13" t="s">
        <v>35</v>
      </c>
      <c r="B27" s="9"/>
      <c r="C27" s="14" t="n">
        <f aca="false">IFERROR(VLOOKUP(B27,'Score Reference'!$A$73:$B$76,2,FALSE()),0)</f>
        <v>0</v>
      </c>
      <c r="D27" s="15" t="n">
        <v>0.35</v>
      </c>
      <c r="E27" s="16" t="n">
        <f aca="false">IF(ISNUMBER(C27),C27*D27,0)</f>
        <v>0</v>
      </c>
    </row>
    <row r="28" customFormat="false" ht="21.75" hidden="false" customHeight="true" outlineLevel="0" collapsed="false">
      <c r="A28" s="8" t="s">
        <v>36</v>
      </c>
      <c r="B28" s="9"/>
      <c r="C28" s="10" t="n">
        <f aca="false">IFERROR(VLOOKUP(B28,'Score Reference'!$A$81:$B$84,2,FALSE()),0)</f>
        <v>0</v>
      </c>
      <c r="D28" s="11" t="n">
        <v>0.25</v>
      </c>
      <c r="E28" s="12" t="n">
        <f aca="false">IF(ISNUMBER(C28),C28*D28,0)</f>
        <v>0</v>
      </c>
    </row>
    <row r="29" customFormat="false" ht="21.75" hidden="false" customHeight="true" outlineLevel="0" collapsed="false">
      <c r="A29" s="17" t="s">
        <v>37</v>
      </c>
      <c r="B29" s="18" t="s">
        <v>26</v>
      </c>
      <c r="C29" s="18"/>
      <c r="D29" s="19" t="n">
        <v>0.2</v>
      </c>
      <c r="E29" s="20" t="n">
        <f aca="false">IFERROR(SUMPRODUCT(C26:C28,D26:D28),0)</f>
        <v>0</v>
      </c>
    </row>
    <row r="30" customFormat="false" ht="19.5" hidden="false" customHeight="true" outlineLevel="0" collapsed="false"/>
    <row r="31" customFormat="false" ht="21.75" hidden="false" customHeight="true" outlineLevel="0" collapsed="false">
      <c r="A31" s="7" t="s">
        <v>38</v>
      </c>
      <c r="B31" s="7"/>
      <c r="C31" s="7"/>
      <c r="D31" s="7"/>
      <c r="E31" s="7"/>
    </row>
    <row r="32" customFormat="false" ht="21" hidden="false" customHeight="true" outlineLevel="0" collapsed="false">
      <c r="A32" s="8" t="s">
        <v>39</v>
      </c>
      <c r="B32" s="9"/>
      <c r="C32" s="10" t="n">
        <f aca="false">IFERROR(VLOOKUP(B32,'Score Reference'!$A$90:$B$114,2,FALSE()),0)</f>
        <v>0</v>
      </c>
      <c r="D32" s="11" t="n">
        <v>1</v>
      </c>
      <c r="E32" s="12" t="n">
        <f aca="false">IF(ISNUMBER(C32),C32*D32,0)</f>
        <v>0</v>
      </c>
    </row>
    <row r="33" customFormat="false" ht="21.75" hidden="false" customHeight="true" outlineLevel="0" collapsed="false">
      <c r="A33" s="17" t="s">
        <v>40</v>
      </c>
      <c r="B33" s="18" t="s">
        <v>26</v>
      </c>
      <c r="C33" s="18"/>
      <c r="D33" s="19" t="n">
        <v>0.15</v>
      </c>
      <c r="E33" s="20" t="n">
        <f aca="false">IFERROR(SUMPRODUCT(C32,D32),0)</f>
        <v>0</v>
      </c>
    </row>
    <row r="34" customFormat="false" ht="19.5" hidden="false" customHeight="true" outlineLevel="0" collapsed="false"/>
    <row r="35" customFormat="false" ht="19.5" hidden="false" customHeight="true" outlineLevel="0" collapsed="false">
      <c r="A35" s="7" t="s">
        <v>41</v>
      </c>
      <c r="B35" s="7"/>
      <c r="C35" s="7"/>
      <c r="D35" s="7"/>
      <c r="E35" s="7"/>
    </row>
    <row r="36" customFormat="false" ht="21.75" hidden="false" customHeight="true" outlineLevel="0" collapsed="false">
      <c r="A36" s="8" t="s">
        <v>42</v>
      </c>
      <c r="B36" s="9"/>
      <c r="C36" s="10" t="n">
        <f aca="false">IFERROR(VLOOKUP(B36,'Score Reference'!$A$120:$B$123,2,FALSE()),0)</f>
        <v>0</v>
      </c>
      <c r="D36" s="11" t="n">
        <v>0.5</v>
      </c>
      <c r="E36" s="12" t="n">
        <f aca="false">IF(ISNUMBER(C36),C36*D36,0)</f>
        <v>0</v>
      </c>
    </row>
    <row r="37" customFormat="false" ht="12" hidden="false" customHeight="true" outlineLevel="0" collapsed="false">
      <c r="A37" s="13" t="s">
        <v>43</v>
      </c>
      <c r="B37" s="9"/>
      <c r="C37" s="14" t="n">
        <f aca="false">IFERROR(VLOOKUP(B37,'Score Reference'!$A$128:$B$131,2,FALSE()),0)</f>
        <v>0</v>
      </c>
      <c r="D37" s="15" t="n">
        <v>0.5</v>
      </c>
      <c r="E37" s="16" t="n">
        <f aca="false">IF(ISNUMBER(C37),C37*D37,0)</f>
        <v>0</v>
      </c>
    </row>
    <row r="38" customFormat="false" ht="21.75" hidden="false" customHeight="true" outlineLevel="0" collapsed="false">
      <c r="A38" s="17" t="s">
        <v>44</v>
      </c>
      <c r="B38" s="18" t="s">
        <v>26</v>
      </c>
      <c r="C38" s="18"/>
      <c r="D38" s="19" t="n">
        <v>0.1</v>
      </c>
      <c r="E38" s="20" t="n">
        <f aca="false">IFERROR(SUMPRODUCT(C36:C37,D36:D37),0)</f>
        <v>0</v>
      </c>
    </row>
    <row r="39" customFormat="false" ht="19.5" hidden="false" customHeight="true" outlineLevel="0" collapsed="false"/>
    <row r="40" customFormat="false" ht="19.5" hidden="false" customHeight="true" outlineLevel="0" collapsed="false">
      <c r="A40" s="21"/>
      <c r="B40" s="22"/>
      <c r="C40" s="22"/>
      <c r="D40" s="22"/>
      <c r="E40" s="22"/>
    </row>
    <row r="41" customFormat="false" ht="21.75" hidden="false" customHeight="true" outlineLevel="0" collapsed="false">
      <c r="A41" s="21"/>
      <c r="B41" s="21"/>
      <c r="C41" s="22"/>
      <c r="D41" s="22"/>
      <c r="E41" s="23"/>
    </row>
    <row r="42" customFormat="false" ht="12" hidden="false" customHeight="true" outlineLevel="0" collapsed="false">
      <c r="A42" s="21"/>
      <c r="B42" s="21"/>
      <c r="C42" s="22"/>
      <c r="D42" s="22"/>
      <c r="E42" s="23"/>
    </row>
    <row r="43" customFormat="false" ht="7.5" hidden="false" customHeight="true" outlineLevel="0" collapsed="false">
      <c r="A43" s="21"/>
      <c r="B43" s="24"/>
      <c r="C43" s="22"/>
      <c r="D43" s="22"/>
      <c r="E43" s="22"/>
    </row>
    <row r="44" customFormat="false" ht="21.75" hidden="false" customHeight="true" outlineLevel="0" collapsed="false">
      <c r="A44" s="22"/>
      <c r="B44" s="22"/>
      <c r="C44" s="22"/>
      <c r="D44" s="22"/>
      <c r="E44" s="22"/>
    </row>
    <row r="45" customFormat="false" ht="30" hidden="false" customHeight="true" outlineLevel="0" collapsed="false">
      <c r="A45" s="22"/>
      <c r="B45" s="22"/>
      <c r="C45" s="22"/>
      <c r="D45" s="22"/>
      <c r="E45" s="22"/>
    </row>
    <row r="46" customFormat="false" ht="30" hidden="false" customHeight="true" outlineLevel="0" collapsed="false">
      <c r="A46" s="25" t="s">
        <v>45</v>
      </c>
      <c r="B46" s="25"/>
      <c r="C46" s="25"/>
      <c r="D46" s="25"/>
      <c r="E46" s="25"/>
    </row>
    <row r="47" customFormat="false" ht="27.75" hidden="false" customHeight="true" outlineLevel="0" collapsed="false">
      <c r="A47" s="4" t="s">
        <v>46</v>
      </c>
      <c r="B47" s="26" t="s">
        <v>47</v>
      </c>
      <c r="C47" s="26"/>
      <c r="D47" s="26"/>
      <c r="E47" s="27" t="n">
        <f aca="false">IFERROR(ROUND((E17+E23+E29+E33+E38)/4*100,1),0)</f>
        <v>50</v>
      </c>
    </row>
    <row r="48" customFormat="false" ht="27.75" hidden="false" customHeight="true" outlineLevel="0" collapsed="false">
      <c r="A48" s="4" t="s">
        <v>48</v>
      </c>
      <c r="B48" s="26" t="s">
        <v>49</v>
      </c>
      <c r="C48" s="26"/>
      <c r="D48" s="26"/>
      <c r="E48" s="28" t="str">
        <f aca="false">IF(E47&gt;=70,"HIGH RISK",IF(E47&gt;=40,"MEDIUM RISK",IF(E47&gt;0,"LOW RISK","Awaiting Input")))</f>
        <v>MEDIUM RISK</v>
      </c>
    </row>
    <row r="49" customFormat="false" ht="7.5" hidden="false" customHeight="true" outlineLevel="0" collapsed="false">
      <c r="A49" s="4" t="s">
        <v>50</v>
      </c>
      <c r="B49" s="29" t="str">
        <f aca="false">IF(E47&gt;=70,"Enhanced Due Diligence (EDD) — Senior Compliance Review Required",IF(E47&gt;=40,"Customer Due Diligence (CDD) — Standard Onboarding",IF(E47&gt;0,"Simplified Due Diligence (SDD) — Fast-Track Eligible","")))</f>
        <v>Customer Due Diligence (CDD) — Standard Onboarding</v>
      </c>
      <c r="C49" s="29"/>
      <c r="D49" s="29"/>
      <c r="E49" s="29"/>
    </row>
    <row r="50" customFormat="false" ht="13.5" hidden="false" customHeight="true" outlineLevel="0" collapsed="false">
      <c r="A50" s="4" t="s">
        <v>51</v>
      </c>
      <c r="B50" s="29" t="str">
        <f aca="false">IF(OR(COUNTIF(C11:C16,4)&gt;0,COUNTIF(C20:C22,4)&gt;0,COUNTIF(C26:C28,4)&gt;0,COUNTIF(C32,4)&gt;0,E47&gt;=85),"⚠️ MANDATORY COMPLIANCE OFFICER APPROVAL REQUIRED","")</f>
        <v/>
      </c>
      <c r="C50" s="29"/>
      <c r="D50" s="29"/>
      <c r="E50" s="29"/>
    </row>
    <row r="52" customFormat="false" ht="15" hidden="false" customHeight="true" outlineLevel="0" collapsed="false">
      <c r="A52" s="30" t="s">
        <v>52</v>
      </c>
      <c r="B52" s="30"/>
      <c r="C52" s="30"/>
      <c r="D52" s="30"/>
      <c r="E52" s="30"/>
    </row>
  </sheetData>
  <mergeCells count="22">
    <mergeCell ref="A1:E1"/>
    <mergeCell ref="A2:E2"/>
    <mergeCell ref="B4:E4"/>
    <mergeCell ref="B5:E5"/>
    <mergeCell ref="B6:E6"/>
    <mergeCell ref="B7:E7"/>
    <mergeCell ref="A10:E10"/>
    <mergeCell ref="B17:C17"/>
    <mergeCell ref="A19:E19"/>
    <mergeCell ref="B23:C23"/>
    <mergeCell ref="A25:E25"/>
    <mergeCell ref="B29:C29"/>
    <mergeCell ref="A31:E31"/>
    <mergeCell ref="B33:C33"/>
    <mergeCell ref="A35:E35"/>
    <mergeCell ref="B38:C38"/>
    <mergeCell ref="A46:E46"/>
    <mergeCell ref="B47:D47"/>
    <mergeCell ref="B48:D48"/>
    <mergeCell ref="B49:E49"/>
    <mergeCell ref="B50:E50"/>
    <mergeCell ref="A52:E52"/>
  </mergeCells>
  <conditionalFormatting sqref="C11:C14">
    <cfRule type="cellIs" priority="2" operator="equal" aboveAverage="0" equalAverage="0" bottom="0" percent="0" rank="0" text="" dxfId="0">
      <formula>1</formula>
    </cfRule>
    <cfRule type="cellIs" priority="3" operator="equal" aboveAverage="0" equalAverage="0" bottom="0" percent="0" rank="0" text="" dxfId="1">
      <formula>2</formula>
    </cfRule>
    <cfRule type="cellIs" priority="4" operator="equal" aboveAverage="0" equalAverage="0" bottom="0" percent="0" rank="0" text="" dxfId="2">
      <formula>3</formula>
    </cfRule>
    <cfRule type="cellIs" priority="5" operator="equal" aboveAverage="0" equalAverage="0" bottom="0" percent="0" rank="0" text="" dxfId="3">
      <formula>4</formula>
    </cfRule>
  </conditionalFormatting>
  <conditionalFormatting sqref="C18:C20">
    <cfRule type="cellIs" priority="6" operator="equal" aboveAverage="0" equalAverage="0" bottom="0" percent="0" rank="0" text="" dxfId="0">
      <formula>1</formula>
    </cfRule>
    <cfRule type="cellIs" priority="7" operator="equal" aboveAverage="0" equalAverage="0" bottom="0" percent="0" rank="0" text="" dxfId="1">
      <formula>2</formula>
    </cfRule>
    <cfRule type="cellIs" priority="8" operator="equal" aboveAverage="0" equalAverage="0" bottom="0" percent="0" rank="0" text="" dxfId="2">
      <formula>3</formula>
    </cfRule>
    <cfRule type="cellIs" priority="9" operator="equal" aboveAverage="0" equalAverage="0" bottom="0" percent="0" rank="0" text="" dxfId="3">
      <formula>4</formula>
    </cfRule>
  </conditionalFormatting>
  <conditionalFormatting sqref="C24:C26">
    <cfRule type="cellIs" priority="10" operator="equal" aboveAverage="0" equalAverage="0" bottom="0" percent="0" rank="0" text="" dxfId="0">
      <formula>1</formula>
    </cfRule>
    <cfRule type="cellIs" priority="11" operator="equal" aboveAverage="0" equalAverage="0" bottom="0" percent="0" rank="0" text="" dxfId="1">
      <formula>2</formula>
    </cfRule>
    <cfRule type="cellIs" priority="12" operator="equal" aboveAverage="0" equalAverage="0" bottom="0" percent="0" rank="0" text="" dxfId="2">
      <formula>3</formula>
    </cfRule>
    <cfRule type="cellIs" priority="13" operator="equal" aboveAverage="0" equalAverage="0" bottom="0" percent="0" rank="0" text="" dxfId="3">
      <formula>4</formula>
    </cfRule>
  </conditionalFormatting>
  <conditionalFormatting sqref="C30">
    <cfRule type="cellIs" priority="14" operator="equal" aboveAverage="0" equalAverage="0" bottom="0" percent="0" rank="0" text="" dxfId="0">
      <formula>1</formula>
    </cfRule>
    <cfRule type="cellIs" priority="15" operator="equal" aboveAverage="0" equalAverage="0" bottom="0" percent="0" rank="0" text="" dxfId="1">
      <formula>2</formula>
    </cfRule>
    <cfRule type="cellIs" priority="16" operator="equal" aboveAverage="0" equalAverage="0" bottom="0" percent="0" rank="0" text="" dxfId="2">
      <formula>3</formula>
    </cfRule>
    <cfRule type="cellIs" priority="17" operator="equal" aboveAverage="0" equalAverage="0" bottom="0" percent="0" rank="0" text="" dxfId="3">
      <formula>4</formula>
    </cfRule>
  </conditionalFormatting>
  <conditionalFormatting sqref="C34:C35">
    <cfRule type="cellIs" priority="18" operator="equal" aboveAverage="0" equalAverage="0" bottom="0" percent="0" rank="0" text="" dxfId="0">
      <formula>1</formula>
    </cfRule>
    <cfRule type="cellIs" priority="19" operator="equal" aboveAverage="0" equalAverage="0" bottom="0" percent="0" rank="0" text="" dxfId="1">
      <formula>2</formula>
    </cfRule>
    <cfRule type="cellIs" priority="20" operator="equal" aboveAverage="0" equalAverage="0" bottom="0" percent="0" rank="0" text="" dxfId="2">
      <formula>3</formula>
    </cfRule>
    <cfRule type="cellIs" priority="21" operator="equal" aboveAverage="0" equalAverage="0" bottom="0" percent="0" rank="0" text="" dxfId="3">
      <formula>4</formula>
    </cfRule>
  </conditionalFormatting>
  <conditionalFormatting sqref="E39">
    <cfRule type="cellIs" priority="22" operator="greaterThanOrEqual" aboveAverage="0" equalAverage="0" bottom="0" percent="0" rank="0" text="" dxfId="4">
      <formula>70</formula>
    </cfRule>
    <cfRule type="cellIs" priority="23" operator="between" aboveAverage="0" equalAverage="0" bottom="0" percent="0" rank="0" text="" dxfId="5">
      <formula>40</formula>
      <formula>69.9</formula>
    </cfRule>
    <cfRule type="cellIs" priority="24" operator="lessThan" aboveAverage="0" equalAverage="0" bottom="0" percent="0" rank="0" text="" dxfId="6">
      <formula>40</formula>
    </cfRule>
    <cfRule type="cellIs" priority="25" operator="equal" aboveAverage="0" equalAverage="0" bottom="0" percent="0" rank="0" text="" dxfId="7">
      <formula>0</formula>
    </cfRule>
  </conditionalFormatting>
  <conditionalFormatting sqref="E40">
    <cfRule type="cellIs" priority="26" operator="equal" aboveAverage="0" equalAverage="0" bottom="0" percent="0" rank="0" text="" dxfId="8">
      <formula>"HIGH RISK"</formula>
    </cfRule>
    <cfRule type="cellIs" priority="27" operator="equal" aboveAverage="0" equalAverage="0" bottom="0" percent="0" rank="0" text="" dxfId="9">
      <formula>"MEDIUM RISK"</formula>
    </cfRule>
    <cfRule type="cellIs" priority="28" operator="equal" aboveAverage="0" equalAverage="0" bottom="0" percent="0" rank="0" text="" dxfId="10">
      <formula>"LOW RISK"</formula>
    </cfRule>
  </conditionalFormatting>
  <conditionalFormatting sqref="B42">
    <cfRule type="expression" priority="29" aboveAverage="0" equalAverage="0" bottom="0" percent="0" rank="0" text="" dxfId="3">
      <formula>NOT(ISERROR(SEARCH("REQUIRED",B42)))</formula>
    </cfRule>
    <cfRule type="expression" priority="30" aboveAverage="0" equalAverage="0" bottom="0" percent="0" rank="0" text="" dxfId="0">
      <formula>NOT(ISERROR(SEARCH("No Compliance",B42)))</formula>
    </cfRule>
  </conditionalFormatting>
  <conditionalFormatting sqref="C39:C40">
    <cfRule type="cellIs" priority="31" operator="equal" aboveAverage="0" equalAverage="0" bottom="0" percent="0" rank="0" text="" dxfId="0">
      <formula>1</formula>
    </cfRule>
    <cfRule type="cellIs" priority="32" operator="equal" aboveAverage="0" equalAverage="0" bottom="0" percent="0" rank="0" text="" dxfId="1">
      <formula>2</formula>
    </cfRule>
    <cfRule type="cellIs" priority="33" operator="equal" aboveAverage="0" equalAverage="0" bottom="0" percent="0" rank="0" text="" dxfId="2">
      <formula>3</formula>
    </cfRule>
    <cfRule type="cellIs" priority="34" operator="equal" aboveAverage="0" equalAverage="0" bottom="0" percent="0" rank="0" text="" dxfId="3">
      <formula>4</formula>
    </cfRule>
  </conditionalFormatting>
  <conditionalFormatting sqref="E45">
    <cfRule type="cellIs" priority="35" operator="greaterThanOrEqual" aboveAverage="0" equalAverage="0" bottom="0" percent="0" rank="0" text="" dxfId="4">
      <formula>70</formula>
    </cfRule>
    <cfRule type="cellIs" priority="36" operator="between" aboveAverage="0" equalAverage="0" bottom="0" percent="0" rank="0" text="" dxfId="5">
      <formula>40</formula>
      <formula>69.9</formula>
    </cfRule>
    <cfRule type="cellIs" priority="37" operator="lessThan" aboveAverage="0" equalAverage="0" bottom="0" percent="0" rank="0" text="" dxfId="6">
      <formula>40</formula>
    </cfRule>
  </conditionalFormatting>
  <conditionalFormatting sqref="E46">
    <cfRule type="cellIs" priority="38" operator="equal" aboveAverage="0" equalAverage="0" bottom="0" percent="0" rank="0" text="" dxfId="8">
      <formula>"HIGH RISK"</formula>
    </cfRule>
    <cfRule type="cellIs" priority="39" operator="equal" aboveAverage="0" equalAverage="0" bottom="0" percent="0" rank="0" text="" dxfId="9">
      <formula>"MEDIUM RISK"</formula>
    </cfRule>
    <cfRule type="cellIs" priority="40" operator="equal" aboveAverage="0" equalAverage="0" bottom="0" percent="0" rank="0" text="" dxfId="10">
      <formula>"LOW RISK"</formula>
    </cfRule>
  </conditionalFormatting>
  <conditionalFormatting sqref="B48">
    <cfRule type="expression" priority="41" aboveAverage="0" equalAverage="0" bottom="0" percent="0" rank="0" text="" dxfId="3">
      <formula>NOT(ISERROR(SEARCH("REQUIRED",B48)))</formula>
    </cfRule>
    <cfRule type="expression" priority="42" aboveAverage="0" equalAverage="0" bottom="0" percent="0" rank="0" text="" dxfId="0">
      <formula>NOT(ISERROR(SEARCH("No Compliance",B48)))</formula>
    </cfRule>
  </conditionalFormatting>
  <dataValidations count="15">
    <dataValidation allowBlank="true" error="Please select a valid option for 1.1 Entity Type" errorStyle="stop" errorTitle="Invalid Selection" operator="between" prompt="Select from the dropdown list" promptTitle="1.1 Entity Type" showDropDown="false" showErrorMessage="true" showInputMessage="true" sqref="B11" type="list">
      <formula1>'Score Reference'!$A$3:$A$11</formula1>
      <formula2>0</formula2>
    </dataValidation>
    <dataValidation allowBlank="true" error="Please select a valid option for 1.2 Ownership Structure" errorStyle="stop" errorTitle="Invalid Selection" operator="between" prompt="Select from the dropdown list" promptTitle="1.2 Ownership Structure" showDropDown="false" showErrorMessage="true" showInputMessage="true" sqref="B12" type="list">
      <formula1>'Score Reference'!$A$16:$A$19</formula1>
      <formula2>0</formula2>
    </dataValidation>
    <dataValidation allowBlank="true" error="Please select a valid option for 1.3 PEP Status" errorStyle="stop" errorTitle="Invalid Selection" operator="between" prompt="Select from the dropdown list" promptTitle="1.3 PEP Status" showDropDown="false" showErrorMessage="true" showInputMessage="true" sqref="B13" type="list">
      <formula1>'Score Reference'!$A$24:$A$27</formula1>
      <formula2>0</formula2>
    </dataValidation>
    <dataValidation allowBlank="true" error="Please select a valid option for 1.4 Adverse Media" errorStyle="stop" errorTitle="Invalid Selection" operator="between" prompt="Select from the dropdown list" promptTitle="1.4 Adverse Media" showDropDown="false" showErrorMessage="true" showInputMessage="true" sqref="B14" type="list">
      <formula1>'Score Reference'!$A$32:$A$34</formula1>
      <formula2>0</formula2>
    </dataValidation>
    <dataValidation allowBlank="true" error="Please select a valid option for 1.5 Source of Wealth" errorStyle="stop" errorTitle="Invalid Selection" operator="between" prompt="Select from the dropdown list" promptTitle="1.5 Source of Wealth" showDropDown="false" showErrorMessage="true" showInputMessage="true" sqref="B15" type="list">
      <formula1>'Score Reference'!$A$136:$A$143</formula1>
      <formula2>0</formula2>
    </dataValidation>
    <dataValidation allowBlank="true" error="Please select a valid option for 1.6 Source of Funds" errorStyle="stop" errorTitle="Invalid Selection" operator="between" prompt="Select from the dropdown list" promptTitle="1.6 Source of Funds" showDropDown="false" showErrorMessage="true" showInputMessage="true" sqref="B16" type="list">
      <formula1>'Score Reference'!$A$147:$A$155</formula1>
      <formula2>0</formula2>
    </dataValidation>
    <dataValidation allowBlank="true" error="Please select a valid option for 2.1 Country of Incorporation" errorStyle="stop" errorTitle="Invalid Selection" operator="between" prompt="Select from the dropdown list" promptTitle="2.1 Country of Incorporation" showDropDown="false" showErrorMessage="true" showInputMessage="true" sqref="B20" type="list">
      <formula1>'Score Reference'!$A$40:$A$43</formula1>
      <formula2>0</formula2>
    </dataValidation>
    <dataValidation allowBlank="true" error="Please select a valid option for 2.2 Countries of Operation" errorStyle="stop" errorTitle="Invalid Selection" operator="between" prompt="Select from the dropdown list" promptTitle="2.2 Countries of Operation" showDropDown="false" showErrorMessage="true" showInputMessage="true" sqref="B21" type="list">
      <formula1>'Score Reference'!$A$48:$A$51</formula1>
      <formula2>0</formula2>
    </dataValidation>
    <dataValidation allowBlank="true" error="Please select a valid option for 2.3 Target Markets" errorStyle="stop" errorTitle="Invalid Selection" operator="between" prompt="Select from the dropdown list" promptTitle="2.3 Target Markets" showDropDown="false" showErrorMessage="true" showInputMessage="true" sqref="B22" type="list">
      <formula1>'Score Reference'!$A$56:$A$59</formula1>
      <formula2>0</formula2>
    </dataValidation>
    <dataValidation allowBlank="true" error="Please select a valid option for 3.1 Product Complexity" errorStyle="stop" errorTitle="Invalid Selection" operator="between" prompt="Select from the dropdown list" promptTitle="3.1 Product Complexity" showDropDown="false" showErrorMessage="true" showInputMessage="true" sqref="B26" type="list">
      <formula1>'Score Reference'!$A$65:$A$67</formula1>
      <formula2>0</formula2>
    </dataValidation>
    <dataValidation allowBlank="true" error="Please select a valid option for 3.2 Transaction Volume" errorStyle="stop" errorTitle="Invalid Selection" operator="between" prompt="Select from the dropdown list" promptTitle="3.2 Transaction Volume" showDropDown="false" showErrorMessage="true" showInputMessage="true" sqref="B27" type="list">
      <formula1>'Score Reference'!$A$73:$A$76</formula1>
      <formula2>0</formula2>
    </dataValidation>
    <dataValidation allowBlank="true" error="Please select a valid option for 3.3 Transaction Complexity" errorStyle="stop" errorTitle="Invalid Selection" operator="between" prompt="Select from the dropdown list" promptTitle="3.3 Transaction Complexity" showDropDown="false" showErrorMessage="true" showInputMessage="true" sqref="B28" type="list">
      <formula1>'Score Reference'!$A$81:$A$84</formula1>
      <formula2>0</formula2>
    </dataValidation>
    <dataValidation allowBlank="true" error="Please select a valid option for 4.1 Industry" errorStyle="stop" errorTitle="Invalid Selection" operator="between" prompt="Select from the dropdown list" promptTitle="4.1 Industry" showDropDown="false" showErrorMessage="true" showInputMessage="true" sqref="B32" type="list">
      <formula1>'Score Reference'!$A$90:$A$115</formula1>
      <formula2>0</formula2>
    </dataValidation>
    <dataValidation allowBlank="true" error="Please select a valid option for 5.1 Introduction Method" errorStyle="stop" errorTitle="Invalid Selection" operator="between" prompt="Select from the dropdown list" promptTitle="5.1 Introduction Method" showDropDown="false" showErrorMessage="true" showInputMessage="true" sqref="B36" type="list">
      <formula1>'Score Reference'!$A$120:$A$123</formula1>
      <formula2>0</formula2>
    </dataValidation>
    <dataValidation allowBlank="true" error="Please select a valid option for 5.2 Customer Interaction" errorStyle="stop" errorTitle="Invalid Selection" operator="between" prompt="Select from the dropdown list" promptTitle="5.2 Customer Interaction" showDropDown="false" showErrorMessage="true" showInputMessage="true" sqref="B37" type="list">
      <formula1>'Score Reference'!$A$128:$A$131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3"/>
  <sheetViews>
    <sheetView showFormulas="false" showGridLines="false" showRowColHeaders="true" showZeros="true" rightToLeft="false" tabSelected="false" showOutlineSymbols="true" defaultGridColor="true" view="normal" topLeftCell="A36"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48"/>
    <col collapsed="false" customWidth="true" hidden="false" outlineLevel="0" max="2" min="2" style="1" width="30"/>
    <col collapsed="false" customWidth="true" hidden="false" outlineLevel="0" max="4" min="3" style="1" width="20"/>
  </cols>
  <sheetData>
    <row r="1" customFormat="false" ht="27.75" hidden="false" customHeight="true" outlineLevel="0" collapsed="false">
      <c r="A1" s="31" t="s">
        <v>53</v>
      </c>
      <c r="B1" s="31"/>
      <c r="C1" s="31"/>
    </row>
    <row r="2" customFormat="false" ht="21.75" hidden="false" customHeight="true" outlineLevel="0" collapsed="false">
      <c r="A2" s="7" t="s">
        <v>54</v>
      </c>
      <c r="B2" s="7"/>
      <c r="C2" s="7"/>
    </row>
    <row r="3" customFormat="false" ht="18" hidden="false" customHeight="true" outlineLevel="0" collapsed="false">
      <c r="A3" s="32" t="s">
        <v>55</v>
      </c>
      <c r="B3" s="33" t="n">
        <v>1</v>
      </c>
      <c r="C3" s="34" t="s">
        <v>56</v>
      </c>
    </row>
    <row r="4" customFormat="false" ht="18" hidden="false" customHeight="true" outlineLevel="0" collapsed="false">
      <c r="A4" s="35" t="s">
        <v>57</v>
      </c>
      <c r="B4" s="33" t="n">
        <v>1</v>
      </c>
      <c r="C4" s="34" t="s">
        <v>56</v>
      </c>
    </row>
    <row r="5" customFormat="false" ht="18" hidden="false" customHeight="true" outlineLevel="0" collapsed="false">
      <c r="A5" s="32" t="s">
        <v>58</v>
      </c>
      <c r="B5" s="33" t="n">
        <v>1</v>
      </c>
      <c r="C5" s="34" t="s">
        <v>56</v>
      </c>
    </row>
    <row r="6" customFormat="false" ht="18" hidden="false" customHeight="true" outlineLevel="0" collapsed="false">
      <c r="A6" s="35" t="s">
        <v>59</v>
      </c>
      <c r="B6" s="36" t="n">
        <v>2</v>
      </c>
      <c r="C6" s="37" t="s">
        <v>60</v>
      </c>
    </row>
    <row r="7" customFormat="false" ht="18" hidden="false" customHeight="true" outlineLevel="0" collapsed="false">
      <c r="A7" s="32" t="s">
        <v>61</v>
      </c>
      <c r="B7" s="36" t="n">
        <v>2</v>
      </c>
      <c r="C7" s="37" t="s">
        <v>60</v>
      </c>
    </row>
    <row r="8" customFormat="false" ht="18" hidden="false" customHeight="true" outlineLevel="0" collapsed="false">
      <c r="A8" s="35" t="s">
        <v>62</v>
      </c>
      <c r="B8" s="38" t="n">
        <v>3</v>
      </c>
      <c r="C8" s="39" t="s">
        <v>63</v>
      </c>
    </row>
    <row r="9" customFormat="false" ht="18" hidden="false" customHeight="true" outlineLevel="0" collapsed="false">
      <c r="A9" s="32" t="s">
        <v>14</v>
      </c>
      <c r="B9" s="38" t="n">
        <v>3</v>
      </c>
      <c r="C9" s="39" t="s">
        <v>63</v>
      </c>
    </row>
    <row r="10" customFormat="false" ht="18" hidden="false" customHeight="true" outlineLevel="0" collapsed="false">
      <c r="A10" s="35" t="s">
        <v>64</v>
      </c>
      <c r="B10" s="38" t="n">
        <v>3</v>
      </c>
      <c r="C10" s="39" t="s">
        <v>63</v>
      </c>
    </row>
    <row r="11" customFormat="false" ht="18" hidden="false" customHeight="true" outlineLevel="0" collapsed="false">
      <c r="A11" s="32" t="s">
        <v>65</v>
      </c>
      <c r="B11" s="40" t="n">
        <v>4</v>
      </c>
      <c r="C11" s="41" t="s">
        <v>66</v>
      </c>
    </row>
    <row r="15" customFormat="false" ht="21.75" hidden="false" customHeight="true" outlineLevel="0" collapsed="false">
      <c r="A15" s="7" t="s">
        <v>67</v>
      </c>
      <c r="B15" s="7"/>
      <c r="C15" s="7"/>
    </row>
    <row r="16" customFormat="false" ht="18" hidden="false" customHeight="true" outlineLevel="0" collapsed="false">
      <c r="A16" s="32" t="s">
        <v>16</v>
      </c>
      <c r="B16" s="33" t="n">
        <v>1</v>
      </c>
      <c r="C16" s="34" t="s">
        <v>56</v>
      </c>
    </row>
    <row r="17" customFormat="false" ht="18" hidden="false" customHeight="true" outlineLevel="0" collapsed="false">
      <c r="A17" s="35" t="s">
        <v>68</v>
      </c>
      <c r="B17" s="36" t="n">
        <v>2</v>
      </c>
      <c r="C17" s="37" t="s">
        <v>60</v>
      </c>
    </row>
    <row r="18" customFormat="false" ht="18" hidden="false" customHeight="true" outlineLevel="0" collapsed="false">
      <c r="A18" s="32" t="s">
        <v>69</v>
      </c>
      <c r="B18" s="38" t="n">
        <v>3</v>
      </c>
      <c r="C18" s="39" t="s">
        <v>63</v>
      </c>
    </row>
    <row r="19" customFormat="false" ht="18" hidden="false" customHeight="true" outlineLevel="0" collapsed="false">
      <c r="A19" s="35" t="s">
        <v>70</v>
      </c>
      <c r="B19" s="40" t="n">
        <v>4</v>
      </c>
      <c r="C19" s="41" t="s">
        <v>66</v>
      </c>
    </row>
    <row r="23" customFormat="false" ht="21.75" hidden="false" customHeight="true" outlineLevel="0" collapsed="false">
      <c r="A23" s="7" t="s">
        <v>71</v>
      </c>
      <c r="B23" s="7"/>
      <c r="C23" s="7"/>
    </row>
    <row r="24" customFormat="false" ht="18" hidden="false" customHeight="true" outlineLevel="0" collapsed="false">
      <c r="A24" s="32" t="s">
        <v>18</v>
      </c>
      <c r="B24" s="33" t="n">
        <v>1</v>
      </c>
      <c r="C24" s="34" t="s">
        <v>56</v>
      </c>
    </row>
    <row r="25" customFormat="false" ht="18" hidden="false" customHeight="true" outlineLevel="0" collapsed="false">
      <c r="A25" s="35" t="s">
        <v>72</v>
      </c>
      <c r="B25" s="38" t="n">
        <v>3</v>
      </c>
      <c r="C25" s="39" t="s">
        <v>63</v>
      </c>
    </row>
    <row r="26" customFormat="false" ht="18" hidden="false" customHeight="true" outlineLevel="0" collapsed="false">
      <c r="A26" s="32" t="s">
        <v>73</v>
      </c>
      <c r="B26" s="38" t="n">
        <v>3</v>
      </c>
      <c r="C26" s="39" t="s">
        <v>63</v>
      </c>
    </row>
    <row r="27" customFormat="false" ht="18" hidden="false" customHeight="true" outlineLevel="0" collapsed="false">
      <c r="A27" s="35" t="s">
        <v>74</v>
      </c>
      <c r="B27" s="40" t="n">
        <v>4</v>
      </c>
      <c r="C27" s="41" t="s">
        <v>66</v>
      </c>
    </row>
    <row r="31" customFormat="false" ht="21.75" hidden="false" customHeight="true" outlineLevel="0" collapsed="false">
      <c r="A31" s="7" t="s">
        <v>75</v>
      </c>
      <c r="B31" s="7"/>
      <c r="C31" s="7"/>
    </row>
    <row r="32" customFormat="false" ht="18" hidden="false" customHeight="true" outlineLevel="0" collapsed="false">
      <c r="A32" s="32" t="s">
        <v>76</v>
      </c>
      <c r="B32" s="33" t="n">
        <v>1</v>
      </c>
      <c r="C32" s="34" t="s">
        <v>56</v>
      </c>
    </row>
    <row r="33" customFormat="false" ht="18" hidden="false" customHeight="true" outlineLevel="0" collapsed="false">
      <c r="A33" s="35" t="s">
        <v>20</v>
      </c>
      <c r="B33" s="36" t="n">
        <v>2</v>
      </c>
      <c r="C33" s="37" t="s">
        <v>60</v>
      </c>
    </row>
    <row r="34" customFormat="false" ht="18" hidden="false" customHeight="true" outlineLevel="0" collapsed="false">
      <c r="A34" s="32" t="s">
        <v>77</v>
      </c>
      <c r="B34" s="40" t="n">
        <v>4</v>
      </c>
      <c r="C34" s="41" t="s">
        <v>66</v>
      </c>
    </row>
    <row r="39" customFormat="false" ht="21.75" hidden="false" customHeight="true" outlineLevel="0" collapsed="false">
      <c r="A39" s="7" t="s">
        <v>78</v>
      </c>
      <c r="B39" s="7"/>
      <c r="C39" s="7"/>
    </row>
    <row r="40" customFormat="false" ht="18" hidden="false" customHeight="true" outlineLevel="0" collapsed="false">
      <c r="A40" s="32" t="s">
        <v>29</v>
      </c>
      <c r="B40" s="33" t="n">
        <v>1</v>
      </c>
      <c r="C40" s="34" t="s">
        <v>56</v>
      </c>
    </row>
    <row r="41" customFormat="false" ht="18" hidden="false" customHeight="true" outlineLevel="0" collapsed="false">
      <c r="A41" s="35" t="s">
        <v>79</v>
      </c>
      <c r="B41" s="36" t="n">
        <v>2</v>
      </c>
      <c r="C41" s="37" t="s">
        <v>60</v>
      </c>
    </row>
    <row r="42" customFormat="false" ht="18" hidden="false" customHeight="true" outlineLevel="0" collapsed="false">
      <c r="A42" s="32" t="s">
        <v>80</v>
      </c>
      <c r="B42" s="38" t="n">
        <v>3</v>
      </c>
      <c r="C42" s="39" t="s">
        <v>63</v>
      </c>
    </row>
    <row r="43" customFormat="false" ht="18" hidden="false" customHeight="true" outlineLevel="0" collapsed="false">
      <c r="A43" s="35" t="s">
        <v>81</v>
      </c>
      <c r="B43" s="40" t="n">
        <v>4</v>
      </c>
      <c r="C43" s="41" t="s">
        <v>66</v>
      </c>
    </row>
    <row r="47" customFormat="false" ht="21.75" hidden="false" customHeight="true" outlineLevel="0" collapsed="false">
      <c r="A47" s="7" t="s">
        <v>82</v>
      </c>
      <c r="B47" s="7"/>
      <c r="C47" s="7"/>
    </row>
    <row r="48" customFormat="false" ht="18" hidden="false" customHeight="true" outlineLevel="0" collapsed="false">
      <c r="A48" s="32" t="s">
        <v>83</v>
      </c>
      <c r="B48" s="33" t="n">
        <v>1</v>
      </c>
      <c r="C48" s="34" t="s">
        <v>56</v>
      </c>
    </row>
    <row r="49" customFormat="false" ht="18" hidden="false" customHeight="true" outlineLevel="0" collapsed="false">
      <c r="A49" s="35" t="s">
        <v>84</v>
      </c>
      <c r="B49" s="36" t="n">
        <v>2</v>
      </c>
      <c r="C49" s="37" t="s">
        <v>60</v>
      </c>
    </row>
    <row r="50" customFormat="false" ht="18" hidden="false" customHeight="true" outlineLevel="0" collapsed="false">
      <c r="A50" s="32" t="s">
        <v>85</v>
      </c>
      <c r="B50" s="38" t="n">
        <v>3</v>
      </c>
      <c r="C50" s="39" t="s">
        <v>63</v>
      </c>
    </row>
    <row r="51" customFormat="false" ht="18" hidden="false" customHeight="true" outlineLevel="0" collapsed="false">
      <c r="A51" s="35" t="s">
        <v>86</v>
      </c>
      <c r="B51" s="40" t="n">
        <v>4</v>
      </c>
      <c r="C51" s="41" t="s">
        <v>66</v>
      </c>
    </row>
    <row r="55" customFormat="false" ht="21.75" hidden="false" customHeight="true" outlineLevel="0" collapsed="false">
      <c r="A55" s="7" t="s">
        <v>87</v>
      </c>
      <c r="B55" s="7"/>
      <c r="C55" s="7"/>
    </row>
    <row r="56" customFormat="false" ht="18" hidden="false" customHeight="true" outlineLevel="0" collapsed="false">
      <c r="A56" s="32" t="s">
        <v>88</v>
      </c>
      <c r="B56" s="33" t="n">
        <v>1</v>
      </c>
      <c r="C56" s="34" t="s">
        <v>56</v>
      </c>
    </row>
    <row r="57" customFormat="false" ht="18" hidden="false" customHeight="true" outlineLevel="0" collapsed="false">
      <c r="A57" s="35" t="s">
        <v>89</v>
      </c>
      <c r="B57" s="36" t="n">
        <v>2</v>
      </c>
      <c r="C57" s="37" t="s">
        <v>60</v>
      </c>
    </row>
    <row r="58" customFormat="false" ht="18" hidden="false" customHeight="true" outlineLevel="0" collapsed="false">
      <c r="A58" s="32" t="s">
        <v>90</v>
      </c>
      <c r="B58" s="38" t="n">
        <v>3</v>
      </c>
      <c r="C58" s="39" t="s">
        <v>63</v>
      </c>
    </row>
    <row r="59" customFormat="false" ht="18" hidden="false" customHeight="true" outlineLevel="0" collapsed="false">
      <c r="A59" s="35" t="s">
        <v>91</v>
      </c>
      <c r="B59" s="40" t="n">
        <v>4</v>
      </c>
      <c r="C59" s="41" t="s">
        <v>66</v>
      </c>
    </row>
    <row r="64" customFormat="false" ht="21.75" hidden="false" customHeight="true" outlineLevel="0" collapsed="false">
      <c r="A64" s="7" t="s">
        <v>92</v>
      </c>
      <c r="B64" s="7"/>
      <c r="C64" s="7"/>
    </row>
    <row r="65" customFormat="false" ht="18" hidden="false" customHeight="true" outlineLevel="0" collapsed="false">
      <c r="A65" s="32" t="s">
        <v>93</v>
      </c>
      <c r="B65" s="33" t="n">
        <v>1</v>
      </c>
      <c r="C65" s="34" t="s">
        <v>56</v>
      </c>
    </row>
    <row r="66" customFormat="false" ht="18" hidden="false" customHeight="true" outlineLevel="0" collapsed="false">
      <c r="A66" s="35" t="s">
        <v>94</v>
      </c>
      <c r="B66" s="36" t="n">
        <v>2</v>
      </c>
      <c r="C66" s="37" t="s">
        <v>60</v>
      </c>
    </row>
    <row r="67" customFormat="false" ht="18" hidden="false" customHeight="true" outlineLevel="0" collapsed="false">
      <c r="A67" s="32" t="s">
        <v>95</v>
      </c>
      <c r="B67" s="38" t="n">
        <v>3</v>
      </c>
      <c r="C67" s="39" t="s">
        <v>63</v>
      </c>
    </row>
    <row r="68" customFormat="false" ht="18" hidden="false" customHeight="true" outlineLevel="0" collapsed="false">
      <c r="A68" s="35"/>
      <c r="B68" s="40"/>
      <c r="C68" s="41"/>
    </row>
    <row r="72" customFormat="false" ht="21.75" hidden="false" customHeight="true" outlineLevel="0" collapsed="false">
      <c r="A72" s="7" t="s">
        <v>96</v>
      </c>
      <c r="B72" s="7"/>
      <c r="C72" s="7"/>
    </row>
    <row r="73" customFormat="false" ht="18" hidden="false" customHeight="true" outlineLevel="0" collapsed="false">
      <c r="A73" s="32" t="s">
        <v>97</v>
      </c>
      <c r="B73" s="33" t="n">
        <v>1</v>
      </c>
      <c r="C73" s="34" t="s">
        <v>56</v>
      </c>
    </row>
    <row r="74" customFormat="false" ht="18" hidden="false" customHeight="true" outlineLevel="0" collapsed="false">
      <c r="A74" s="35" t="s">
        <v>98</v>
      </c>
      <c r="B74" s="36" t="n">
        <v>2</v>
      </c>
      <c r="C74" s="37" t="s">
        <v>60</v>
      </c>
    </row>
    <row r="75" customFormat="false" ht="18" hidden="false" customHeight="true" outlineLevel="0" collapsed="false">
      <c r="A75" s="32" t="s">
        <v>99</v>
      </c>
      <c r="B75" s="38" t="n">
        <v>3</v>
      </c>
      <c r="C75" s="39" t="s">
        <v>63</v>
      </c>
    </row>
    <row r="76" customFormat="false" ht="18" hidden="false" customHeight="true" outlineLevel="0" collapsed="false">
      <c r="A76" s="35" t="s">
        <v>100</v>
      </c>
      <c r="B76" s="40" t="n">
        <v>4</v>
      </c>
      <c r="C76" s="41" t="s">
        <v>66</v>
      </c>
    </row>
    <row r="80" customFormat="false" ht="21.75" hidden="false" customHeight="true" outlineLevel="0" collapsed="false">
      <c r="A80" s="7" t="s">
        <v>101</v>
      </c>
      <c r="B80" s="7"/>
      <c r="C80" s="7"/>
    </row>
    <row r="81" customFormat="false" ht="18" hidden="false" customHeight="true" outlineLevel="0" collapsed="false">
      <c r="A81" s="32" t="s">
        <v>102</v>
      </c>
      <c r="B81" s="33" t="n">
        <v>1</v>
      </c>
      <c r="C81" s="34" t="s">
        <v>56</v>
      </c>
    </row>
    <row r="82" customFormat="false" ht="18" hidden="false" customHeight="true" outlineLevel="0" collapsed="false">
      <c r="A82" s="35" t="s">
        <v>103</v>
      </c>
      <c r="B82" s="36" t="n">
        <v>2</v>
      </c>
      <c r="C82" s="37" t="s">
        <v>60</v>
      </c>
    </row>
    <row r="83" customFormat="false" ht="18" hidden="false" customHeight="true" outlineLevel="0" collapsed="false">
      <c r="A83" s="32" t="s">
        <v>104</v>
      </c>
      <c r="B83" s="38" t="n">
        <v>3</v>
      </c>
      <c r="C83" s="39" t="s">
        <v>63</v>
      </c>
    </row>
    <row r="84" customFormat="false" ht="18" hidden="false" customHeight="true" outlineLevel="0" collapsed="false">
      <c r="A84" s="35" t="s">
        <v>105</v>
      </c>
      <c r="B84" s="40" t="n">
        <v>4</v>
      </c>
      <c r="C84" s="41" t="s">
        <v>66</v>
      </c>
    </row>
    <row r="89" customFormat="false" ht="21.75" hidden="false" customHeight="true" outlineLevel="0" collapsed="false">
      <c r="A89" s="7" t="s">
        <v>106</v>
      </c>
      <c r="B89" s="7"/>
      <c r="C89" s="7"/>
    </row>
    <row r="90" customFormat="false" ht="18" hidden="false" customHeight="true" outlineLevel="0" collapsed="false">
      <c r="A90" s="32" t="s">
        <v>107</v>
      </c>
      <c r="B90" s="33" t="n">
        <v>1</v>
      </c>
      <c r="C90" s="34" t="s">
        <v>56</v>
      </c>
    </row>
    <row r="91" customFormat="false" ht="18" hidden="false" customHeight="true" outlineLevel="0" collapsed="false">
      <c r="A91" s="35" t="s">
        <v>108</v>
      </c>
      <c r="B91" s="33" t="n">
        <v>1</v>
      </c>
      <c r="C91" s="34" t="s">
        <v>56</v>
      </c>
    </row>
    <row r="92" customFormat="false" ht="18" hidden="false" customHeight="true" outlineLevel="0" collapsed="false">
      <c r="A92" s="32" t="s">
        <v>109</v>
      </c>
      <c r="B92" s="33" t="n">
        <v>1</v>
      </c>
      <c r="C92" s="34" t="s">
        <v>56</v>
      </c>
    </row>
    <row r="93" customFormat="false" ht="18" hidden="false" customHeight="true" outlineLevel="0" collapsed="false">
      <c r="A93" s="35" t="s">
        <v>110</v>
      </c>
      <c r="B93" s="36" t="n">
        <v>2</v>
      </c>
      <c r="C93" s="37" t="s">
        <v>60</v>
      </c>
    </row>
    <row r="94" customFormat="false" ht="18" hidden="false" customHeight="true" outlineLevel="0" collapsed="false">
      <c r="A94" s="32" t="s">
        <v>111</v>
      </c>
      <c r="B94" s="36" t="n">
        <v>2</v>
      </c>
      <c r="C94" s="37" t="s">
        <v>60</v>
      </c>
    </row>
    <row r="95" customFormat="false" ht="18" hidden="false" customHeight="true" outlineLevel="0" collapsed="false">
      <c r="A95" s="35" t="s">
        <v>112</v>
      </c>
      <c r="B95" s="36" t="n">
        <v>2</v>
      </c>
      <c r="C95" s="37" t="s">
        <v>60</v>
      </c>
    </row>
    <row r="96" customFormat="false" ht="18" hidden="false" customHeight="true" outlineLevel="0" collapsed="false">
      <c r="A96" s="32" t="s">
        <v>113</v>
      </c>
      <c r="B96" s="36" t="n">
        <v>2</v>
      </c>
      <c r="C96" s="37" t="s">
        <v>60</v>
      </c>
    </row>
    <row r="97" customFormat="false" ht="18" hidden="false" customHeight="true" outlineLevel="0" collapsed="false">
      <c r="A97" s="35" t="s">
        <v>114</v>
      </c>
      <c r="B97" s="36" t="n">
        <v>2</v>
      </c>
      <c r="C97" s="37" t="s">
        <v>60</v>
      </c>
    </row>
    <row r="98" customFormat="false" ht="18" hidden="false" customHeight="true" outlineLevel="0" collapsed="false">
      <c r="A98" s="32" t="s">
        <v>115</v>
      </c>
      <c r="B98" s="36" t="n">
        <v>2</v>
      </c>
      <c r="C98" s="37" t="s">
        <v>60</v>
      </c>
    </row>
    <row r="99" customFormat="false" ht="18" hidden="false" customHeight="true" outlineLevel="0" collapsed="false">
      <c r="A99" s="35" t="s">
        <v>116</v>
      </c>
      <c r="B99" s="36" t="n">
        <v>2</v>
      </c>
      <c r="C99" s="37" t="s">
        <v>60</v>
      </c>
    </row>
    <row r="100" customFormat="false" ht="18" hidden="false" customHeight="true" outlineLevel="0" collapsed="false">
      <c r="A100" s="32" t="s">
        <v>117</v>
      </c>
      <c r="B100" s="36" t="n">
        <v>2</v>
      </c>
      <c r="C100" s="37" t="s">
        <v>60</v>
      </c>
    </row>
    <row r="101" customFormat="false" ht="18" hidden="false" customHeight="true" outlineLevel="0" collapsed="false">
      <c r="A101" s="35" t="s">
        <v>118</v>
      </c>
      <c r="B101" s="38" t="n">
        <v>3</v>
      </c>
      <c r="C101" s="39" t="s">
        <v>63</v>
      </c>
    </row>
    <row r="102" customFormat="false" ht="18" hidden="false" customHeight="true" outlineLevel="0" collapsed="false">
      <c r="A102" s="32" t="s">
        <v>119</v>
      </c>
      <c r="B102" s="38" t="n">
        <v>3</v>
      </c>
      <c r="C102" s="39" t="s">
        <v>63</v>
      </c>
    </row>
    <row r="103" customFormat="false" ht="18" hidden="false" customHeight="true" outlineLevel="0" collapsed="false">
      <c r="A103" s="35" t="s">
        <v>120</v>
      </c>
      <c r="B103" s="38" t="n">
        <v>3</v>
      </c>
      <c r="C103" s="39" t="s">
        <v>63</v>
      </c>
    </row>
    <row r="104" customFormat="false" ht="18" hidden="false" customHeight="true" outlineLevel="0" collapsed="false">
      <c r="A104" s="32" t="s">
        <v>121</v>
      </c>
      <c r="B104" s="38" t="n">
        <v>3</v>
      </c>
      <c r="C104" s="39" t="s">
        <v>63</v>
      </c>
    </row>
    <row r="105" customFormat="false" ht="18" hidden="false" customHeight="true" outlineLevel="0" collapsed="false">
      <c r="A105" s="35" t="s">
        <v>122</v>
      </c>
      <c r="B105" s="38" t="n">
        <v>3</v>
      </c>
      <c r="C105" s="39" t="s">
        <v>63</v>
      </c>
    </row>
    <row r="106" customFormat="false" ht="18" hidden="false" customHeight="true" outlineLevel="0" collapsed="false">
      <c r="A106" s="32" t="s">
        <v>123</v>
      </c>
      <c r="B106" s="38" t="n">
        <v>3</v>
      </c>
      <c r="C106" s="39" t="s">
        <v>63</v>
      </c>
    </row>
    <row r="107" customFormat="false" ht="18" hidden="false" customHeight="true" outlineLevel="0" collapsed="false">
      <c r="A107" s="35" t="s">
        <v>124</v>
      </c>
      <c r="B107" s="38" t="n">
        <v>3</v>
      </c>
      <c r="C107" s="39" t="s">
        <v>63</v>
      </c>
    </row>
    <row r="108" customFormat="false" ht="18" hidden="false" customHeight="true" outlineLevel="0" collapsed="false">
      <c r="A108" s="32" t="s">
        <v>125</v>
      </c>
      <c r="B108" s="38" t="n">
        <v>3</v>
      </c>
      <c r="C108" s="39" t="s">
        <v>63</v>
      </c>
    </row>
    <row r="109" customFormat="false" ht="18" hidden="false" customHeight="true" outlineLevel="0" collapsed="false">
      <c r="A109" s="35" t="s">
        <v>126</v>
      </c>
      <c r="B109" s="38" t="n">
        <v>3</v>
      </c>
      <c r="C109" s="39" t="s">
        <v>63</v>
      </c>
    </row>
    <row r="110" customFormat="false" ht="18" hidden="false" customHeight="true" outlineLevel="0" collapsed="false">
      <c r="A110" s="32" t="s">
        <v>127</v>
      </c>
      <c r="B110" s="38" t="n">
        <v>3</v>
      </c>
      <c r="C110" s="39" t="s">
        <v>63</v>
      </c>
    </row>
    <row r="111" customFormat="false" ht="18" hidden="false" customHeight="true" outlineLevel="0" collapsed="false">
      <c r="A111" s="35" t="s">
        <v>128</v>
      </c>
      <c r="B111" s="40" t="n">
        <v>4</v>
      </c>
      <c r="C111" s="41" t="s">
        <v>66</v>
      </c>
    </row>
    <row r="112" customFormat="false" ht="18" hidden="false" customHeight="true" outlineLevel="0" collapsed="false">
      <c r="A112" s="32" t="s">
        <v>129</v>
      </c>
      <c r="B112" s="40" t="n">
        <v>4</v>
      </c>
      <c r="C112" s="41" t="s">
        <v>66</v>
      </c>
    </row>
    <row r="113" customFormat="false" ht="18" hidden="false" customHeight="true" outlineLevel="0" collapsed="false">
      <c r="A113" s="35" t="s">
        <v>130</v>
      </c>
      <c r="B113" s="40" t="n">
        <v>4</v>
      </c>
      <c r="C113" s="41" t="s">
        <v>66</v>
      </c>
    </row>
    <row r="114" customFormat="false" ht="18" hidden="false" customHeight="true" outlineLevel="0" collapsed="false">
      <c r="A114" s="32" t="s">
        <v>131</v>
      </c>
      <c r="B114" s="40" t="n">
        <v>4</v>
      </c>
      <c r="C114" s="41" t="s">
        <v>66</v>
      </c>
    </row>
    <row r="115" customFormat="false" ht="18" hidden="false" customHeight="true" outlineLevel="0" collapsed="false">
      <c r="A115" s="35" t="s">
        <v>132</v>
      </c>
      <c r="B115" s="40" t="n">
        <v>4</v>
      </c>
      <c r="C115" s="41" t="s">
        <v>66</v>
      </c>
    </row>
    <row r="119" customFormat="false" ht="21.75" hidden="false" customHeight="true" outlineLevel="0" collapsed="false">
      <c r="A119" s="7" t="s">
        <v>133</v>
      </c>
      <c r="B119" s="7"/>
      <c r="C119" s="7"/>
    </row>
    <row r="120" customFormat="false" ht="18" hidden="false" customHeight="true" outlineLevel="0" collapsed="false">
      <c r="A120" s="32" t="s">
        <v>134</v>
      </c>
      <c r="B120" s="33" t="n">
        <v>1</v>
      </c>
      <c r="C120" s="34" t="s">
        <v>56</v>
      </c>
    </row>
    <row r="121" customFormat="false" ht="18" hidden="false" customHeight="true" outlineLevel="0" collapsed="false">
      <c r="A121" s="35" t="s">
        <v>135</v>
      </c>
      <c r="B121" s="33" t="n">
        <v>1</v>
      </c>
      <c r="C121" s="34" t="s">
        <v>56</v>
      </c>
    </row>
    <row r="122" customFormat="false" ht="18" hidden="false" customHeight="true" outlineLevel="0" collapsed="false">
      <c r="A122" s="32" t="s">
        <v>136</v>
      </c>
      <c r="B122" s="38" t="n">
        <v>3</v>
      </c>
      <c r="C122" s="39" t="s">
        <v>63</v>
      </c>
    </row>
    <row r="123" customFormat="false" ht="18" hidden="false" customHeight="true" outlineLevel="0" collapsed="false">
      <c r="A123" s="35" t="s">
        <v>137</v>
      </c>
      <c r="B123" s="40" t="n">
        <v>4</v>
      </c>
      <c r="C123" s="41" t="s">
        <v>66</v>
      </c>
    </row>
    <row r="127" customFormat="false" ht="21.75" hidden="false" customHeight="true" outlineLevel="0" collapsed="false">
      <c r="A127" s="7" t="s">
        <v>138</v>
      </c>
      <c r="B127" s="7"/>
      <c r="C127" s="7"/>
    </row>
    <row r="128" customFormat="false" ht="18" hidden="false" customHeight="true" outlineLevel="0" collapsed="false">
      <c r="A128" s="32" t="s">
        <v>139</v>
      </c>
      <c r="B128" s="33" t="n">
        <v>1</v>
      </c>
      <c r="C128" s="34" t="s">
        <v>56</v>
      </c>
    </row>
    <row r="129" customFormat="false" ht="18" hidden="false" customHeight="true" outlineLevel="0" collapsed="false">
      <c r="A129" s="35" t="s">
        <v>140</v>
      </c>
      <c r="B129" s="36" t="n">
        <v>2</v>
      </c>
      <c r="C129" s="37" t="s">
        <v>60</v>
      </c>
    </row>
    <row r="130" customFormat="false" ht="18" hidden="false" customHeight="true" outlineLevel="0" collapsed="false">
      <c r="A130" s="32" t="s">
        <v>141</v>
      </c>
      <c r="B130" s="36" t="n">
        <v>2</v>
      </c>
      <c r="C130" s="37" t="s">
        <v>60</v>
      </c>
    </row>
    <row r="131" customFormat="false" ht="18" hidden="false" customHeight="true" outlineLevel="0" collapsed="false">
      <c r="A131" s="35" t="s">
        <v>142</v>
      </c>
      <c r="B131" s="38" t="n">
        <v>3</v>
      </c>
      <c r="C131" s="39" t="s">
        <v>63</v>
      </c>
    </row>
    <row r="135" customFormat="false" ht="21.75" hidden="false" customHeight="true" outlineLevel="0" collapsed="false">
      <c r="A135" s="7" t="s">
        <v>143</v>
      </c>
      <c r="B135" s="7"/>
      <c r="C135" s="7"/>
    </row>
    <row r="136" customFormat="false" ht="18" hidden="false" customHeight="true" outlineLevel="0" collapsed="false">
      <c r="A136" s="32" t="s">
        <v>144</v>
      </c>
      <c r="B136" s="33" t="n">
        <v>1</v>
      </c>
      <c r="C136" s="34" t="s">
        <v>56</v>
      </c>
    </row>
    <row r="137" customFormat="false" ht="18" hidden="false" customHeight="true" outlineLevel="0" collapsed="false">
      <c r="A137" s="35" t="s">
        <v>145</v>
      </c>
      <c r="B137" s="33" t="n">
        <v>1</v>
      </c>
      <c r="C137" s="34" t="s">
        <v>56</v>
      </c>
    </row>
    <row r="138" customFormat="false" ht="18" hidden="false" customHeight="true" outlineLevel="0" collapsed="false">
      <c r="A138" s="32" t="s">
        <v>22</v>
      </c>
      <c r="B138" s="36" t="n">
        <v>2</v>
      </c>
      <c r="C138" s="37" t="s">
        <v>60</v>
      </c>
    </row>
    <row r="139" customFormat="false" ht="18" hidden="false" customHeight="true" outlineLevel="0" collapsed="false">
      <c r="A139" s="35" t="s">
        <v>146</v>
      </c>
      <c r="B139" s="36" t="n">
        <v>2</v>
      </c>
      <c r="C139" s="37" t="s">
        <v>60</v>
      </c>
    </row>
    <row r="140" customFormat="false" ht="18" hidden="false" customHeight="true" outlineLevel="0" collapsed="false">
      <c r="A140" s="32" t="s">
        <v>147</v>
      </c>
      <c r="B140" s="33" t="n">
        <v>1</v>
      </c>
      <c r="C140" s="34" t="s">
        <v>56</v>
      </c>
    </row>
    <row r="141" customFormat="false" ht="18" hidden="false" customHeight="true" outlineLevel="0" collapsed="false">
      <c r="A141" s="35" t="s">
        <v>148</v>
      </c>
      <c r="B141" s="38" t="n">
        <v>3</v>
      </c>
      <c r="C141" s="39" t="s">
        <v>63</v>
      </c>
    </row>
    <row r="142" customFormat="false" ht="18" hidden="false" customHeight="true" outlineLevel="0" collapsed="false">
      <c r="A142" s="32" t="s">
        <v>149</v>
      </c>
      <c r="B142" s="38" t="n">
        <v>3</v>
      </c>
      <c r="C142" s="39" t="s">
        <v>63</v>
      </c>
    </row>
    <row r="143" customFormat="false" ht="18" hidden="false" customHeight="true" outlineLevel="0" collapsed="false">
      <c r="A143" s="35" t="s">
        <v>150</v>
      </c>
      <c r="B143" s="38" t="n">
        <v>3</v>
      </c>
      <c r="C143" s="39" t="s">
        <v>63</v>
      </c>
    </row>
    <row r="146" customFormat="false" ht="21.75" hidden="false" customHeight="true" outlineLevel="0" collapsed="false">
      <c r="A146" s="7" t="s">
        <v>151</v>
      </c>
      <c r="B146" s="7"/>
      <c r="C146" s="7"/>
    </row>
    <row r="147" customFormat="false" ht="18" hidden="false" customHeight="true" outlineLevel="0" collapsed="false">
      <c r="A147" s="32" t="s">
        <v>152</v>
      </c>
      <c r="B147" s="33" t="n">
        <v>1</v>
      </c>
      <c r="C147" s="34" t="s">
        <v>56</v>
      </c>
    </row>
    <row r="148" customFormat="false" ht="18" hidden="false" customHeight="true" outlineLevel="0" collapsed="false">
      <c r="A148" s="35" t="s">
        <v>153</v>
      </c>
      <c r="B148" s="33" t="n">
        <v>1</v>
      </c>
      <c r="C148" s="34" t="s">
        <v>56</v>
      </c>
    </row>
    <row r="149" customFormat="false" ht="18" hidden="false" customHeight="true" outlineLevel="0" collapsed="false">
      <c r="A149" s="32" t="s">
        <v>154</v>
      </c>
      <c r="B149" s="33" t="n">
        <v>1</v>
      </c>
      <c r="C149" s="34" t="s">
        <v>56</v>
      </c>
    </row>
    <row r="150" customFormat="false" ht="18" hidden="false" customHeight="true" outlineLevel="0" collapsed="false">
      <c r="A150" s="35" t="s">
        <v>24</v>
      </c>
      <c r="B150" s="33" t="n">
        <v>1</v>
      </c>
      <c r="C150" s="34" t="s">
        <v>56</v>
      </c>
    </row>
    <row r="151" customFormat="false" ht="18" hidden="false" customHeight="true" outlineLevel="0" collapsed="false">
      <c r="A151" s="32" t="s">
        <v>155</v>
      </c>
      <c r="B151" s="36" t="n">
        <v>2</v>
      </c>
      <c r="C151" s="37" t="s">
        <v>60</v>
      </c>
    </row>
    <row r="152" customFormat="false" ht="18" hidden="false" customHeight="true" outlineLevel="0" collapsed="false">
      <c r="A152" s="35" t="s">
        <v>156</v>
      </c>
      <c r="B152" s="36" t="n">
        <v>2</v>
      </c>
      <c r="C152" s="37" t="s">
        <v>60</v>
      </c>
    </row>
    <row r="153" customFormat="false" ht="18" hidden="false" customHeight="true" outlineLevel="0" collapsed="false">
      <c r="A153" s="32" t="s">
        <v>157</v>
      </c>
      <c r="B153" s="38" t="n">
        <v>3</v>
      </c>
      <c r="C153" s="39" t="s">
        <v>63</v>
      </c>
    </row>
    <row r="154" customFormat="false" ht="18" hidden="false" customHeight="true" outlineLevel="0" collapsed="false">
      <c r="A154" s="35" t="s">
        <v>22</v>
      </c>
      <c r="B154" s="36" t="n">
        <v>2</v>
      </c>
      <c r="C154" s="37" t="s">
        <v>60</v>
      </c>
    </row>
    <row r="155" customFormat="false" ht="18" hidden="false" customHeight="true" outlineLevel="0" collapsed="false">
      <c r="A155" s="32" t="s">
        <v>150</v>
      </c>
      <c r="B155" s="38" t="n">
        <v>3</v>
      </c>
      <c r="C155" s="39" t="s">
        <v>63</v>
      </c>
    </row>
    <row r="159" customFormat="false" ht="15" hidden="false" customHeight="true" outlineLevel="0" collapsed="false">
      <c r="A159" s="42" t="s">
        <v>158</v>
      </c>
    </row>
    <row r="161" customFormat="false" ht="15" hidden="false" customHeight="true" outlineLevel="0" collapsed="false">
      <c r="A161" s="43" t="s">
        <v>159</v>
      </c>
    </row>
    <row r="162" customFormat="false" ht="45.75" hidden="false" customHeight="true" outlineLevel="0" collapsed="false">
      <c r="A162" s="44" t="s">
        <v>160</v>
      </c>
      <c r="B162" s="45" t="s">
        <v>161</v>
      </c>
      <c r="C162" s="45"/>
      <c r="D162" s="45"/>
    </row>
    <row r="164" customFormat="false" ht="57" hidden="false" customHeight="true" outlineLevel="0" collapsed="false">
      <c r="A164" s="44" t="s">
        <v>162</v>
      </c>
      <c r="B164" s="45" t="s">
        <v>163</v>
      </c>
      <c r="C164" s="45"/>
      <c r="D164" s="45"/>
    </row>
    <row r="166" customFormat="false" ht="57" hidden="false" customHeight="true" outlineLevel="0" collapsed="false">
      <c r="A166" s="44" t="s">
        <v>164</v>
      </c>
      <c r="B166" s="45" t="s">
        <v>165</v>
      </c>
      <c r="C166" s="45"/>
      <c r="D166" s="45"/>
    </row>
    <row r="168" customFormat="false" ht="57" hidden="false" customHeight="true" outlineLevel="0" collapsed="false">
      <c r="A168" s="44" t="s">
        <v>166</v>
      </c>
      <c r="B168" s="45" t="s">
        <v>167</v>
      </c>
      <c r="C168" s="45"/>
      <c r="D168" s="45"/>
    </row>
    <row r="171" customFormat="false" ht="15" hidden="false" customHeight="true" outlineLevel="0" collapsed="false">
      <c r="A171" s="43" t="s">
        <v>168</v>
      </c>
    </row>
    <row r="172" customFormat="false" ht="68.25" hidden="false" customHeight="true" outlineLevel="0" collapsed="false">
      <c r="A172" s="44" t="s">
        <v>169</v>
      </c>
      <c r="B172" s="45" t="s">
        <v>170</v>
      </c>
      <c r="C172" s="45"/>
      <c r="D172" s="45"/>
    </row>
    <row r="174" customFormat="false" ht="57" hidden="false" customHeight="true" outlineLevel="0" collapsed="false">
      <c r="A174" s="44" t="s">
        <v>171</v>
      </c>
      <c r="B174" s="45" t="s">
        <v>172</v>
      </c>
      <c r="C174" s="45"/>
      <c r="D174" s="45"/>
    </row>
    <row r="176" customFormat="false" ht="57" hidden="false" customHeight="true" outlineLevel="0" collapsed="false">
      <c r="A176" s="44" t="s">
        <v>173</v>
      </c>
      <c r="B176" s="45" t="s">
        <v>174</v>
      </c>
      <c r="C176" s="45"/>
      <c r="D176" s="45"/>
    </row>
    <row r="178" customFormat="false" ht="68.25" hidden="false" customHeight="true" outlineLevel="0" collapsed="false">
      <c r="A178" s="44" t="s">
        <v>175</v>
      </c>
      <c r="B178" s="45" t="s">
        <v>176</v>
      </c>
      <c r="C178" s="45"/>
      <c r="D178" s="45"/>
    </row>
    <row r="181" customFormat="false" ht="15" hidden="false" customHeight="true" outlineLevel="0" collapsed="false">
      <c r="A181" s="43" t="s">
        <v>177</v>
      </c>
    </row>
    <row r="182" customFormat="false" ht="34.5" hidden="false" customHeight="true" outlineLevel="0" collapsed="false">
      <c r="A182" s="45" t="s">
        <v>178</v>
      </c>
      <c r="B182" s="45"/>
      <c r="C182" s="45"/>
      <c r="D182" s="45"/>
    </row>
    <row r="184" customFormat="false" ht="15" hidden="false" customHeight="true" outlineLevel="0" collapsed="false">
      <c r="A184" s="46" t="s">
        <v>179</v>
      </c>
      <c r="B184" s="46"/>
      <c r="C184" s="46"/>
      <c r="D184" s="46"/>
    </row>
    <row r="186" customFormat="false" ht="15" hidden="false" customHeight="true" outlineLevel="0" collapsed="false">
      <c r="A186" s="47" t="s">
        <v>180</v>
      </c>
      <c r="B186" s="47"/>
      <c r="C186" s="47"/>
      <c r="D186" s="47"/>
    </row>
    <row r="187" customFormat="false" ht="72" hidden="false" customHeight="true" outlineLevel="0" collapsed="false">
      <c r="B187" s="48" t="s">
        <v>181</v>
      </c>
      <c r="C187" s="48"/>
      <c r="D187" s="48"/>
    </row>
    <row r="189" customFormat="false" ht="15" hidden="false" customHeight="true" outlineLevel="0" collapsed="false">
      <c r="A189" s="47" t="s">
        <v>182</v>
      </c>
      <c r="B189" s="47"/>
      <c r="C189" s="47"/>
      <c r="D189" s="47"/>
    </row>
    <row r="190" customFormat="false" ht="90" hidden="false" customHeight="true" outlineLevel="0" collapsed="false">
      <c r="B190" s="48" t="s">
        <v>183</v>
      </c>
      <c r="C190" s="48"/>
      <c r="D190" s="48"/>
    </row>
    <row r="192" customFormat="false" ht="15" hidden="false" customHeight="true" outlineLevel="0" collapsed="false">
      <c r="A192" s="47" t="s">
        <v>184</v>
      </c>
      <c r="B192" s="47"/>
      <c r="C192" s="47"/>
      <c r="D192" s="47"/>
    </row>
    <row r="193" customFormat="false" ht="108" hidden="false" customHeight="true" outlineLevel="0" collapsed="false">
      <c r="B193" s="48" t="s">
        <v>185</v>
      </c>
      <c r="C193" s="48"/>
      <c r="D193" s="48"/>
    </row>
  </sheetData>
  <mergeCells count="32">
    <mergeCell ref="A1:C1"/>
    <mergeCell ref="A2:C2"/>
    <mergeCell ref="A15:C15"/>
    <mergeCell ref="A23:C23"/>
    <mergeCell ref="A31:C31"/>
    <mergeCell ref="A39:C39"/>
    <mergeCell ref="A47:C47"/>
    <mergeCell ref="A55:C55"/>
    <mergeCell ref="A64:C64"/>
    <mergeCell ref="A72:C72"/>
    <mergeCell ref="A80:C80"/>
    <mergeCell ref="A89:C89"/>
    <mergeCell ref="A119:C119"/>
    <mergeCell ref="A127:C127"/>
    <mergeCell ref="A135:C135"/>
    <mergeCell ref="A146:C146"/>
    <mergeCell ref="B162:D162"/>
    <mergeCell ref="B164:D164"/>
    <mergeCell ref="B166:D166"/>
    <mergeCell ref="B168:D168"/>
    <mergeCell ref="B172:D172"/>
    <mergeCell ref="B174:D174"/>
    <mergeCell ref="B176:D176"/>
    <mergeCell ref="B178:D178"/>
    <mergeCell ref="A182:D182"/>
    <mergeCell ref="A184:D184"/>
    <mergeCell ref="A186:D186"/>
    <mergeCell ref="B187:D187"/>
    <mergeCell ref="A189:D189"/>
    <mergeCell ref="B190:D190"/>
    <mergeCell ref="A192:D192"/>
    <mergeCell ref="B193:D19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30"/>
    <col collapsed="false" customWidth="true" hidden="false" outlineLevel="0" max="2" min="2" style="1" width="20"/>
    <col collapsed="false" customWidth="true" hidden="false" outlineLevel="0" max="3" min="3" style="1" width="14"/>
    <col collapsed="false" customWidth="true" hidden="false" outlineLevel="0" max="4" min="4" style="1" width="18"/>
    <col collapsed="false" customWidth="true" hidden="false" outlineLevel="0" max="5" min="5" style="1" width="14"/>
    <col collapsed="false" customWidth="true" hidden="false" outlineLevel="0" max="6" min="6" style="1" width="20"/>
    <col collapsed="false" customWidth="true" hidden="false" outlineLevel="0" max="7" min="7" style="1" width="40"/>
  </cols>
  <sheetData>
    <row r="1" customFormat="false" ht="30" hidden="false" customHeight="true" outlineLevel="0" collapsed="false">
      <c r="A1" s="31" t="s">
        <v>186</v>
      </c>
      <c r="B1" s="31"/>
      <c r="C1" s="31"/>
      <c r="D1" s="31"/>
      <c r="E1" s="31"/>
      <c r="F1" s="31"/>
      <c r="G1" s="31"/>
    </row>
    <row r="2" customFormat="false" ht="19.5" hidden="false" customHeight="true" outlineLevel="0" collapsed="false">
      <c r="A2" s="49" t="s">
        <v>187</v>
      </c>
      <c r="B2" s="49" t="s">
        <v>188</v>
      </c>
      <c r="C2" s="49" t="s">
        <v>189</v>
      </c>
      <c r="D2" s="49" t="s">
        <v>190</v>
      </c>
      <c r="E2" s="49" t="s">
        <v>191</v>
      </c>
      <c r="F2" s="49" t="s">
        <v>192</v>
      </c>
      <c r="G2" s="49" t="s">
        <v>193</v>
      </c>
    </row>
    <row r="3" customFormat="false" ht="18" hidden="false" customHeight="true" outlineLevel="0" collapsed="false">
      <c r="A3" s="32" t="s">
        <v>194</v>
      </c>
      <c r="B3" s="32" t="s">
        <v>195</v>
      </c>
      <c r="C3" s="50" t="s">
        <v>196</v>
      </c>
      <c r="D3" s="34" t="s">
        <v>197</v>
      </c>
      <c r="E3" s="51" t="n">
        <v>1</v>
      </c>
      <c r="F3" s="34" t="s">
        <v>56</v>
      </c>
      <c r="G3" s="32" t="s">
        <v>198</v>
      </c>
    </row>
    <row r="4" customFormat="false" ht="18" hidden="false" customHeight="true" outlineLevel="0" collapsed="false">
      <c r="A4" s="35" t="s">
        <v>199</v>
      </c>
      <c r="B4" s="35" t="s">
        <v>200</v>
      </c>
      <c r="C4" s="52" t="s">
        <v>196</v>
      </c>
      <c r="D4" s="34" t="s">
        <v>197</v>
      </c>
      <c r="E4" s="51" t="n">
        <v>1</v>
      </c>
      <c r="F4" s="34" t="s">
        <v>56</v>
      </c>
      <c r="G4" s="35" t="s">
        <v>198</v>
      </c>
    </row>
    <row r="5" customFormat="false" ht="18" hidden="false" customHeight="true" outlineLevel="0" collapsed="false">
      <c r="A5" s="32" t="s">
        <v>201</v>
      </c>
      <c r="B5" s="32" t="s">
        <v>202</v>
      </c>
      <c r="C5" s="50" t="s">
        <v>196</v>
      </c>
      <c r="D5" s="34" t="s">
        <v>197</v>
      </c>
      <c r="E5" s="51" t="n">
        <v>1</v>
      </c>
      <c r="F5" s="34" t="s">
        <v>56</v>
      </c>
      <c r="G5" s="32" t="s">
        <v>203</v>
      </c>
    </row>
    <row r="6" customFormat="false" ht="18" hidden="false" customHeight="true" outlineLevel="0" collapsed="false">
      <c r="A6" s="35" t="s">
        <v>204</v>
      </c>
      <c r="B6" s="35" t="s">
        <v>202</v>
      </c>
      <c r="C6" s="52" t="s">
        <v>196</v>
      </c>
      <c r="D6" s="34" t="s">
        <v>197</v>
      </c>
      <c r="E6" s="51" t="n">
        <v>1</v>
      </c>
      <c r="F6" s="34" t="s">
        <v>56</v>
      </c>
      <c r="G6" s="35" t="s">
        <v>203</v>
      </c>
    </row>
    <row r="7" customFormat="false" ht="18" hidden="false" customHeight="true" outlineLevel="0" collapsed="false">
      <c r="A7" s="32" t="s">
        <v>205</v>
      </c>
      <c r="B7" s="32" t="s">
        <v>195</v>
      </c>
      <c r="C7" s="50" t="s">
        <v>196</v>
      </c>
      <c r="D7" s="34" t="s">
        <v>197</v>
      </c>
      <c r="E7" s="51" t="n">
        <v>1</v>
      </c>
      <c r="F7" s="34" t="s">
        <v>56</v>
      </c>
      <c r="G7" s="32" t="s">
        <v>206</v>
      </c>
    </row>
    <row r="8" customFormat="false" ht="18" hidden="false" customHeight="true" outlineLevel="0" collapsed="false">
      <c r="A8" s="35" t="s">
        <v>207</v>
      </c>
      <c r="B8" s="35" t="s">
        <v>202</v>
      </c>
      <c r="C8" s="52" t="s">
        <v>196</v>
      </c>
      <c r="D8" s="34" t="s">
        <v>197</v>
      </c>
      <c r="E8" s="51" t="n">
        <v>1</v>
      </c>
      <c r="F8" s="34" t="s">
        <v>56</v>
      </c>
      <c r="G8" s="35" t="s">
        <v>208</v>
      </c>
    </row>
    <row r="9" customFormat="false" ht="18" hidden="false" customHeight="true" outlineLevel="0" collapsed="false">
      <c r="A9" s="32" t="s">
        <v>209</v>
      </c>
      <c r="B9" s="32" t="s">
        <v>195</v>
      </c>
      <c r="C9" s="50" t="s">
        <v>196</v>
      </c>
      <c r="D9" s="34" t="s">
        <v>197</v>
      </c>
      <c r="E9" s="51" t="n">
        <v>1</v>
      </c>
      <c r="F9" s="34" t="s">
        <v>56</v>
      </c>
      <c r="G9" s="32" t="s">
        <v>210</v>
      </c>
    </row>
    <row r="10" customFormat="false" ht="18" hidden="false" customHeight="true" outlineLevel="0" collapsed="false">
      <c r="A10" s="35" t="s">
        <v>211</v>
      </c>
      <c r="B10" s="35" t="s">
        <v>202</v>
      </c>
      <c r="C10" s="52" t="s">
        <v>196</v>
      </c>
      <c r="D10" s="34" t="s">
        <v>197</v>
      </c>
      <c r="E10" s="51" t="n">
        <v>1</v>
      </c>
      <c r="F10" s="34" t="s">
        <v>56</v>
      </c>
      <c r="G10" s="35" t="s">
        <v>212</v>
      </c>
    </row>
    <row r="11" customFormat="false" ht="18" hidden="false" customHeight="true" outlineLevel="0" collapsed="false">
      <c r="A11" s="32" t="s">
        <v>213</v>
      </c>
      <c r="B11" s="32" t="s">
        <v>202</v>
      </c>
      <c r="C11" s="50" t="s">
        <v>196</v>
      </c>
      <c r="D11" s="34" t="s">
        <v>197</v>
      </c>
      <c r="E11" s="51" t="n">
        <v>1</v>
      </c>
      <c r="F11" s="34" t="s">
        <v>56</v>
      </c>
      <c r="G11" s="32" t="s">
        <v>203</v>
      </c>
    </row>
    <row r="12" customFormat="false" ht="18" hidden="false" customHeight="true" outlineLevel="0" collapsed="false">
      <c r="A12" s="35" t="s">
        <v>214</v>
      </c>
      <c r="B12" s="35" t="s">
        <v>195</v>
      </c>
      <c r="C12" s="52" t="s">
        <v>196</v>
      </c>
      <c r="D12" s="34" t="s">
        <v>197</v>
      </c>
      <c r="E12" s="51" t="n">
        <v>1</v>
      </c>
      <c r="F12" s="34" t="s">
        <v>56</v>
      </c>
      <c r="G12" s="35" t="s">
        <v>215</v>
      </c>
    </row>
    <row r="13" customFormat="false" ht="18" hidden="false" customHeight="true" outlineLevel="0" collapsed="false">
      <c r="A13" s="32" t="s">
        <v>216</v>
      </c>
      <c r="B13" s="32" t="s">
        <v>195</v>
      </c>
      <c r="C13" s="50" t="s">
        <v>196</v>
      </c>
      <c r="D13" s="34" t="s">
        <v>197</v>
      </c>
      <c r="E13" s="51" t="n">
        <v>1</v>
      </c>
      <c r="F13" s="34" t="s">
        <v>56</v>
      </c>
      <c r="G13" s="32" t="s">
        <v>217</v>
      </c>
    </row>
    <row r="14" customFormat="false" ht="18" hidden="false" customHeight="true" outlineLevel="0" collapsed="false">
      <c r="A14" s="35" t="s">
        <v>218</v>
      </c>
      <c r="B14" s="35" t="s">
        <v>202</v>
      </c>
      <c r="C14" s="52" t="s">
        <v>196</v>
      </c>
      <c r="D14" s="34" t="s">
        <v>197</v>
      </c>
      <c r="E14" s="51" t="n">
        <v>1</v>
      </c>
      <c r="F14" s="34" t="s">
        <v>56</v>
      </c>
      <c r="G14" s="35" t="s">
        <v>219</v>
      </c>
    </row>
    <row r="15" customFormat="false" ht="18" hidden="false" customHeight="true" outlineLevel="0" collapsed="false">
      <c r="A15" s="32" t="s">
        <v>220</v>
      </c>
      <c r="B15" s="32" t="s">
        <v>202</v>
      </c>
      <c r="C15" s="50" t="s">
        <v>196</v>
      </c>
      <c r="D15" s="34" t="s">
        <v>197</v>
      </c>
      <c r="E15" s="51" t="n">
        <v>1</v>
      </c>
      <c r="F15" s="34" t="s">
        <v>56</v>
      </c>
      <c r="G15" s="32" t="s">
        <v>221</v>
      </c>
    </row>
    <row r="16" customFormat="false" ht="18" hidden="false" customHeight="true" outlineLevel="0" collapsed="false">
      <c r="A16" s="35" t="s">
        <v>222</v>
      </c>
      <c r="B16" s="35" t="s">
        <v>200</v>
      </c>
      <c r="C16" s="52" t="s">
        <v>196</v>
      </c>
      <c r="D16" s="34" t="s">
        <v>197</v>
      </c>
      <c r="E16" s="51" t="n">
        <v>1</v>
      </c>
      <c r="F16" s="34" t="s">
        <v>56</v>
      </c>
      <c r="G16" s="35" t="s">
        <v>223</v>
      </c>
    </row>
    <row r="17" customFormat="false" ht="18" hidden="false" customHeight="true" outlineLevel="0" collapsed="false">
      <c r="A17" s="32" t="s">
        <v>224</v>
      </c>
      <c r="B17" s="32" t="s">
        <v>202</v>
      </c>
      <c r="C17" s="50" t="s">
        <v>196</v>
      </c>
      <c r="D17" s="34" t="s">
        <v>197</v>
      </c>
      <c r="E17" s="51" t="n">
        <v>1</v>
      </c>
      <c r="F17" s="34" t="s">
        <v>56</v>
      </c>
      <c r="G17" s="32" t="s">
        <v>225</v>
      </c>
    </row>
    <row r="18" customFormat="false" ht="18" hidden="false" customHeight="true" outlineLevel="0" collapsed="false">
      <c r="A18" s="35" t="s">
        <v>226</v>
      </c>
      <c r="B18" s="35" t="s">
        <v>202</v>
      </c>
      <c r="C18" s="52" t="s">
        <v>196</v>
      </c>
      <c r="D18" s="34" t="s">
        <v>197</v>
      </c>
      <c r="E18" s="51" t="n">
        <v>1</v>
      </c>
      <c r="F18" s="34" t="s">
        <v>56</v>
      </c>
      <c r="G18" s="35" t="s">
        <v>227</v>
      </c>
    </row>
    <row r="19" customFormat="false" ht="18" hidden="false" customHeight="true" outlineLevel="0" collapsed="false">
      <c r="A19" s="32" t="s">
        <v>228</v>
      </c>
      <c r="B19" s="32" t="s">
        <v>202</v>
      </c>
      <c r="C19" s="50" t="s">
        <v>196</v>
      </c>
      <c r="D19" s="34" t="s">
        <v>197</v>
      </c>
      <c r="E19" s="51" t="n">
        <v>1</v>
      </c>
      <c r="F19" s="34" t="s">
        <v>56</v>
      </c>
      <c r="G19" s="32" t="s">
        <v>229</v>
      </c>
    </row>
    <row r="20" customFormat="false" ht="18" hidden="false" customHeight="true" outlineLevel="0" collapsed="false">
      <c r="A20" s="35" t="s">
        <v>230</v>
      </c>
      <c r="B20" s="35" t="s">
        <v>202</v>
      </c>
      <c r="C20" s="52" t="s">
        <v>196</v>
      </c>
      <c r="D20" s="34" t="s">
        <v>197</v>
      </c>
      <c r="E20" s="51" t="n">
        <v>1</v>
      </c>
      <c r="F20" s="34" t="s">
        <v>56</v>
      </c>
      <c r="G20" s="35" t="s">
        <v>229</v>
      </c>
    </row>
    <row r="21" customFormat="false" ht="18" hidden="false" customHeight="true" outlineLevel="0" collapsed="false">
      <c r="A21" s="32" t="s">
        <v>231</v>
      </c>
      <c r="B21" s="32" t="s">
        <v>202</v>
      </c>
      <c r="C21" s="50" t="s">
        <v>196</v>
      </c>
      <c r="D21" s="34" t="s">
        <v>197</v>
      </c>
      <c r="E21" s="51" t="n">
        <v>1</v>
      </c>
      <c r="F21" s="34" t="s">
        <v>56</v>
      </c>
      <c r="G21" s="32" t="s">
        <v>229</v>
      </c>
    </row>
    <row r="22" customFormat="false" ht="18" hidden="false" customHeight="true" outlineLevel="0" collapsed="false">
      <c r="A22" s="35" t="s">
        <v>232</v>
      </c>
      <c r="B22" s="35" t="s">
        <v>202</v>
      </c>
      <c r="C22" s="52" t="s">
        <v>196</v>
      </c>
      <c r="D22" s="34" t="s">
        <v>197</v>
      </c>
      <c r="E22" s="51" t="n">
        <v>1</v>
      </c>
      <c r="F22" s="34" t="s">
        <v>56</v>
      </c>
      <c r="G22" s="35" t="s">
        <v>229</v>
      </c>
    </row>
    <row r="23" customFormat="false" ht="18" hidden="false" customHeight="true" outlineLevel="0" collapsed="false">
      <c r="A23" s="32" t="s">
        <v>233</v>
      </c>
      <c r="B23" s="32" t="s">
        <v>195</v>
      </c>
      <c r="C23" s="50" t="s">
        <v>196</v>
      </c>
      <c r="D23" s="34" t="s">
        <v>197</v>
      </c>
      <c r="E23" s="51" t="n">
        <v>1</v>
      </c>
      <c r="F23" s="34" t="s">
        <v>56</v>
      </c>
      <c r="G23" s="32" t="s">
        <v>234</v>
      </c>
    </row>
    <row r="24" customFormat="false" ht="18" hidden="false" customHeight="true" outlineLevel="0" collapsed="false">
      <c r="A24" s="35" t="s">
        <v>235</v>
      </c>
      <c r="B24" s="35" t="s">
        <v>236</v>
      </c>
      <c r="C24" s="52" t="s">
        <v>196</v>
      </c>
      <c r="D24" s="34" t="s">
        <v>197</v>
      </c>
      <c r="E24" s="51" t="n">
        <v>1</v>
      </c>
      <c r="F24" s="34" t="s">
        <v>56</v>
      </c>
      <c r="G24" s="35" t="s">
        <v>237</v>
      </c>
    </row>
    <row r="25" customFormat="false" ht="18" hidden="false" customHeight="true" outlineLevel="0" collapsed="false">
      <c r="A25" s="32" t="s">
        <v>238</v>
      </c>
      <c r="B25" s="32" t="s">
        <v>236</v>
      </c>
      <c r="C25" s="50" t="s">
        <v>196</v>
      </c>
      <c r="D25" s="34" t="s">
        <v>197</v>
      </c>
      <c r="E25" s="53" t="n">
        <v>2</v>
      </c>
      <c r="F25" s="37" t="s">
        <v>60</v>
      </c>
      <c r="G25" s="32" t="s">
        <v>239</v>
      </c>
    </row>
    <row r="26" customFormat="false" ht="18" hidden="false" customHeight="true" outlineLevel="0" collapsed="false">
      <c r="A26" s="35" t="s">
        <v>240</v>
      </c>
      <c r="B26" s="35" t="s">
        <v>241</v>
      </c>
      <c r="C26" s="52" t="s">
        <v>196</v>
      </c>
      <c r="D26" s="34" t="s">
        <v>197</v>
      </c>
      <c r="E26" s="53" t="n">
        <v>2</v>
      </c>
      <c r="F26" s="37" t="s">
        <v>60</v>
      </c>
      <c r="G26" s="35" t="s">
        <v>242</v>
      </c>
    </row>
    <row r="27" customFormat="false" ht="18" hidden="false" customHeight="true" outlineLevel="0" collapsed="false">
      <c r="A27" s="32" t="s">
        <v>243</v>
      </c>
      <c r="B27" s="32" t="s">
        <v>200</v>
      </c>
      <c r="C27" s="50" t="s">
        <v>196</v>
      </c>
      <c r="D27" s="34" t="s">
        <v>197</v>
      </c>
      <c r="E27" s="53" t="n">
        <v>2</v>
      </c>
      <c r="F27" s="37" t="s">
        <v>60</v>
      </c>
      <c r="G27" s="32" t="s">
        <v>244</v>
      </c>
    </row>
    <row r="28" customFormat="false" ht="18" hidden="false" customHeight="true" outlineLevel="0" collapsed="false">
      <c r="A28" s="35" t="s">
        <v>245</v>
      </c>
      <c r="B28" s="35" t="s">
        <v>200</v>
      </c>
      <c r="C28" s="52" t="s">
        <v>196</v>
      </c>
      <c r="D28" s="34" t="s">
        <v>197</v>
      </c>
      <c r="E28" s="53" t="n">
        <v>2</v>
      </c>
      <c r="F28" s="37" t="s">
        <v>60</v>
      </c>
      <c r="G28" s="35" t="s">
        <v>246</v>
      </c>
    </row>
    <row r="29" customFormat="false" ht="18" hidden="false" customHeight="true" outlineLevel="0" collapsed="false">
      <c r="A29" s="32" t="s">
        <v>247</v>
      </c>
      <c r="B29" s="32" t="s">
        <v>195</v>
      </c>
      <c r="C29" s="50" t="s">
        <v>196</v>
      </c>
      <c r="D29" s="34" t="s">
        <v>197</v>
      </c>
      <c r="E29" s="53" t="n">
        <v>2</v>
      </c>
      <c r="F29" s="37" t="s">
        <v>60</v>
      </c>
      <c r="G29" s="32" t="s">
        <v>248</v>
      </c>
    </row>
    <row r="30" customFormat="false" ht="18" hidden="false" customHeight="true" outlineLevel="0" collapsed="false">
      <c r="A30" s="35" t="s">
        <v>249</v>
      </c>
      <c r="B30" s="35" t="s">
        <v>195</v>
      </c>
      <c r="C30" s="52" t="s">
        <v>196</v>
      </c>
      <c r="D30" s="34" t="s">
        <v>197</v>
      </c>
      <c r="E30" s="53" t="n">
        <v>2</v>
      </c>
      <c r="F30" s="37" t="s">
        <v>60</v>
      </c>
      <c r="G30" s="35" t="s">
        <v>250</v>
      </c>
    </row>
    <row r="31" customFormat="false" ht="18" hidden="false" customHeight="true" outlineLevel="0" collapsed="false">
      <c r="A31" s="32" t="s">
        <v>251</v>
      </c>
      <c r="B31" s="32" t="s">
        <v>195</v>
      </c>
      <c r="C31" s="50" t="s">
        <v>196</v>
      </c>
      <c r="D31" s="34" t="s">
        <v>197</v>
      </c>
      <c r="E31" s="53" t="n">
        <v>2</v>
      </c>
      <c r="F31" s="37" t="s">
        <v>60</v>
      </c>
      <c r="G31" s="32" t="s">
        <v>252</v>
      </c>
    </row>
    <row r="32" customFormat="false" ht="18" hidden="false" customHeight="true" outlineLevel="0" collapsed="false">
      <c r="A32" s="35" t="s">
        <v>253</v>
      </c>
      <c r="B32" s="35" t="s">
        <v>236</v>
      </c>
      <c r="C32" s="52" t="s">
        <v>196</v>
      </c>
      <c r="D32" s="34" t="s">
        <v>197</v>
      </c>
      <c r="E32" s="53" t="n">
        <v>2</v>
      </c>
      <c r="F32" s="37" t="s">
        <v>60</v>
      </c>
      <c r="G32" s="35" t="s">
        <v>254</v>
      </c>
    </row>
    <row r="33" customFormat="false" ht="18" hidden="false" customHeight="true" outlineLevel="0" collapsed="false">
      <c r="A33" s="32" t="s">
        <v>255</v>
      </c>
      <c r="B33" s="32" t="s">
        <v>195</v>
      </c>
      <c r="C33" s="50" t="s">
        <v>196</v>
      </c>
      <c r="D33" s="34" t="s">
        <v>197</v>
      </c>
      <c r="E33" s="53" t="n">
        <v>2</v>
      </c>
      <c r="F33" s="37" t="s">
        <v>60</v>
      </c>
      <c r="G33" s="32" t="s">
        <v>256</v>
      </c>
    </row>
    <row r="34" customFormat="false" ht="18" hidden="false" customHeight="true" outlineLevel="0" collapsed="false">
      <c r="A34" s="35" t="s">
        <v>257</v>
      </c>
      <c r="B34" s="35" t="s">
        <v>241</v>
      </c>
      <c r="C34" s="52" t="s">
        <v>196</v>
      </c>
      <c r="D34" s="34" t="s">
        <v>197</v>
      </c>
      <c r="E34" s="53" t="n">
        <v>2</v>
      </c>
      <c r="F34" s="37" t="s">
        <v>60</v>
      </c>
      <c r="G34" s="35" t="s">
        <v>258</v>
      </c>
    </row>
    <row r="35" customFormat="false" ht="18" hidden="false" customHeight="true" outlineLevel="0" collapsed="false">
      <c r="A35" s="32" t="s">
        <v>259</v>
      </c>
      <c r="B35" s="32" t="s">
        <v>200</v>
      </c>
      <c r="C35" s="50" t="s">
        <v>196</v>
      </c>
      <c r="D35" s="34" t="s">
        <v>197</v>
      </c>
      <c r="E35" s="53" t="n">
        <v>2</v>
      </c>
      <c r="F35" s="37" t="s">
        <v>60</v>
      </c>
      <c r="G35" s="32" t="s">
        <v>260</v>
      </c>
    </row>
    <row r="36" customFormat="false" ht="18" hidden="false" customHeight="true" outlineLevel="0" collapsed="false">
      <c r="A36" s="35" t="s">
        <v>261</v>
      </c>
      <c r="B36" s="35" t="s">
        <v>241</v>
      </c>
      <c r="C36" s="52" t="s">
        <v>196</v>
      </c>
      <c r="D36" s="34" t="s">
        <v>197</v>
      </c>
      <c r="E36" s="53" t="n">
        <v>2</v>
      </c>
      <c r="F36" s="37" t="s">
        <v>60</v>
      </c>
      <c r="G36" s="35" t="s">
        <v>262</v>
      </c>
    </row>
    <row r="37" customFormat="false" ht="18" hidden="false" customHeight="true" outlineLevel="0" collapsed="false">
      <c r="A37" s="32" t="s">
        <v>263</v>
      </c>
      <c r="B37" s="32" t="s">
        <v>236</v>
      </c>
      <c r="C37" s="50" t="s">
        <v>196</v>
      </c>
      <c r="D37" s="34" t="s">
        <v>197</v>
      </c>
      <c r="E37" s="53" t="n">
        <v>2</v>
      </c>
      <c r="F37" s="37" t="s">
        <v>60</v>
      </c>
      <c r="G37" s="32" t="s">
        <v>264</v>
      </c>
    </row>
    <row r="38" customFormat="false" ht="18" hidden="false" customHeight="true" outlineLevel="0" collapsed="false">
      <c r="A38" s="35" t="s">
        <v>265</v>
      </c>
      <c r="B38" s="35" t="s">
        <v>236</v>
      </c>
      <c r="C38" s="52" t="s">
        <v>196</v>
      </c>
      <c r="D38" s="34" t="s">
        <v>197</v>
      </c>
      <c r="E38" s="53" t="n">
        <v>2</v>
      </c>
      <c r="F38" s="37" t="s">
        <v>60</v>
      </c>
      <c r="G38" s="35" t="s">
        <v>266</v>
      </c>
    </row>
    <row r="39" customFormat="false" ht="18" hidden="false" customHeight="true" outlineLevel="0" collapsed="false">
      <c r="A39" s="32" t="s">
        <v>267</v>
      </c>
      <c r="B39" s="32" t="s">
        <v>241</v>
      </c>
      <c r="C39" s="50" t="s">
        <v>196</v>
      </c>
      <c r="D39" s="34" t="s">
        <v>197</v>
      </c>
      <c r="E39" s="53" t="n">
        <v>2</v>
      </c>
      <c r="F39" s="37" t="s">
        <v>60</v>
      </c>
      <c r="G39" s="32" t="s">
        <v>268</v>
      </c>
    </row>
    <row r="40" customFormat="false" ht="18" hidden="false" customHeight="true" outlineLevel="0" collapsed="false">
      <c r="A40" s="35" t="s">
        <v>269</v>
      </c>
      <c r="B40" s="35" t="s">
        <v>236</v>
      </c>
      <c r="C40" s="52" t="s">
        <v>196</v>
      </c>
      <c r="D40" s="34" t="s">
        <v>197</v>
      </c>
      <c r="E40" s="53" t="n">
        <v>2</v>
      </c>
      <c r="F40" s="37" t="s">
        <v>60</v>
      </c>
      <c r="G40" s="35" t="s">
        <v>270</v>
      </c>
    </row>
    <row r="41" customFormat="false" ht="18" hidden="false" customHeight="true" outlineLevel="0" collapsed="false">
      <c r="A41" s="32" t="s">
        <v>271</v>
      </c>
      <c r="B41" s="32" t="s">
        <v>241</v>
      </c>
      <c r="C41" s="50" t="s">
        <v>196</v>
      </c>
      <c r="D41" s="34" t="s">
        <v>197</v>
      </c>
      <c r="E41" s="53" t="n">
        <v>2</v>
      </c>
      <c r="F41" s="37" t="s">
        <v>60</v>
      </c>
      <c r="G41" s="32" t="s">
        <v>272</v>
      </c>
    </row>
    <row r="42" customFormat="false" ht="18" hidden="false" customHeight="true" outlineLevel="0" collapsed="false">
      <c r="A42" s="35" t="s">
        <v>273</v>
      </c>
      <c r="B42" s="35" t="s">
        <v>202</v>
      </c>
      <c r="C42" s="52" t="s">
        <v>196</v>
      </c>
      <c r="D42" s="34" t="s">
        <v>197</v>
      </c>
      <c r="E42" s="53" t="n">
        <v>2</v>
      </c>
      <c r="F42" s="37" t="s">
        <v>60</v>
      </c>
      <c r="G42" s="35" t="s">
        <v>274</v>
      </c>
    </row>
    <row r="43" customFormat="false" ht="18" hidden="false" customHeight="true" outlineLevel="0" collapsed="false">
      <c r="A43" s="32" t="s">
        <v>275</v>
      </c>
      <c r="B43" s="32" t="s">
        <v>276</v>
      </c>
      <c r="C43" s="50" t="s">
        <v>196</v>
      </c>
      <c r="D43" s="34" t="s">
        <v>197</v>
      </c>
      <c r="E43" s="53" t="n">
        <v>2</v>
      </c>
      <c r="F43" s="37" t="s">
        <v>60</v>
      </c>
      <c r="G43" s="32" t="s">
        <v>277</v>
      </c>
    </row>
    <row r="44" customFormat="false" ht="18" hidden="false" customHeight="true" outlineLevel="0" collapsed="false">
      <c r="A44" s="35" t="s">
        <v>278</v>
      </c>
      <c r="B44" s="35" t="s">
        <v>236</v>
      </c>
      <c r="C44" s="52" t="s">
        <v>196</v>
      </c>
      <c r="D44" s="34" t="s">
        <v>197</v>
      </c>
      <c r="E44" s="53" t="n">
        <v>2</v>
      </c>
      <c r="F44" s="37" t="s">
        <v>60</v>
      </c>
      <c r="G44" s="35" t="s">
        <v>279</v>
      </c>
    </row>
    <row r="45" customFormat="false" ht="18" hidden="false" customHeight="true" outlineLevel="0" collapsed="false">
      <c r="A45" s="32" t="s">
        <v>280</v>
      </c>
      <c r="B45" s="32" t="s">
        <v>241</v>
      </c>
      <c r="C45" s="50" t="s">
        <v>196</v>
      </c>
      <c r="D45" s="34" t="s">
        <v>197</v>
      </c>
      <c r="E45" s="53" t="n">
        <v>2</v>
      </c>
      <c r="F45" s="37" t="s">
        <v>60</v>
      </c>
      <c r="G45" s="32" t="s">
        <v>281</v>
      </c>
    </row>
    <row r="46" customFormat="false" ht="18" hidden="false" customHeight="true" outlineLevel="0" collapsed="false">
      <c r="A46" s="35" t="s">
        <v>282</v>
      </c>
      <c r="B46" s="35" t="s">
        <v>241</v>
      </c>
      <c r="C46" s="52" t="s">
        <v>196</v>
      </c>
      <c r="D46" s="34" t="s">
        <v>197</v>
      </c>
      <c r="E46" s="53" t="n">
        <v>2</v>
      </c>
      <c r="F46" s="37" t="s">
        <v>60</v>
      </c>
      <c r="G46" s="35" t="s">
        <v>283</v>
      </c>
    </row>
    <row r="47" customFormat="false" ht="18" hidden="false" customHeight="true" outlineLevel="0" collapsed="false">
      <c r="A47" s="32" t="s">
        <v>284</v>
      </c>
      <c r="B47" s="32" t="s">
        <v>241</v>
      </c>
      <c r="C47" s="50" t="s">
        <v>196</v>
      </c>
      <c r="D47" s="34" t="s">
        <v>197</v>
      </c>
      <c r="E47" s="53" t="n">
        <v>2</v>
      </c>
      <c r="F47" s="37" t="s">
        <v>60</v>
      </c>
      <c r="G47" s="32" t="s">
        <v>285</v>
      </c>
    </row>
    <row r="48" customFormat="false" ht="18" hidden="false" customHeight="true" outlineLevel="0" collapsed="false">
      <c r="A48" s="35" t="s">
        <v>286</v>
      </c>
      <c r="B48" s="35" t="s">
        <v>236</v>
      </c>
      <c r="C48" s="52" t="s">
        <v>196</v>
      </c>
      <c r="D48" s="34" t="s">
        <v>197</v>
      </c>
      <c r="E48" s="53" t="n">
        <v>2</v>
      </c>
      <c r="F48" s="37" t="s">
        <v>60</v>
      </c>
      <c r="G48" s="35" t="s">
        <v>262</v>
      </c>
    </row>
    <row r="49" customFormat="false" ht="18" hidden="false" customHeight="true" outlineLevel="0" collapsed="false">
      <c r="A49" s="32" t="s">
        <v>287</v>
      </c>
      <c r="B49" s="32" t="s">
        <v>195</v>
      </c>
      <c r="C49" s="50" t="s">
        <v>196</v>
      </c>
      <c r="D49" s="34" t="s">
        <v>197</v>
      </c>
      <c r="E49" s="53" t="n">
        <v>2</v>
      </c>
      <c r="F49" s="37" t="s">
        <v>60</v>
      </c>
      <c r="G49" s="32" t="s">
        <v>288</v>
      </c>
    </row>
    <row r="50" customFormat="false" ht="18" hidden="false" customHeight="true" outlineLevel="0" collapsed="false">
      <c r="A50" s="35" t="s">
        <v>289</v>
      </c>
      <c r="B50" s="35" t="s">
        <v>241</v>
      </c>
      <c r="C50" s="52" t="s">
        <v>196</v>
      </c>
      <c r="D50" s="34" t="s">
        <v>197</v>
      </c>
      <c r="E50" s="53" t="n">
        <v>2</v>
      </c>
      <c r="F50" s="37" t="s">
        <v>60</v>
      </c>
      <c r="G50" s="35" t="s">
        <v>290</v>
      </c>
    </row>
    <row r="51" customFormat="false" ht="18" hidden="false" customHeight="true" outlineLevel="0" collapsed="false">
      <c r="A51" s="32" t="s">
        <v>291</v>
      </c>
      <c r="B51" s="32" t="s">
        <v>241</v>
      </c>
      <c r="C51" s="50" t="s">
        <v>196</v>
      </c>
      <c r="D51" s="39" t="s">
        <v>292</v>
      </c>
      <c r="E51" s="54" t="n">
        <v>3</v>
      </c>
      <c r="F51" s="39" t="s">
        <v>63</v>
      </c>
      <c r="G51" s="32" t="s">
        <v>293</v>
      </c>
    </row>
    <row r="52" customFormat="false" ht="18" hidden="false" customHeight="true" outlineLevel="0" collapsed="false">
      <c r="A52" s="35" t="s">
        <v>294</v>
      </c>
      <c r="B52" s="35" t="s">
        <v>241</v>
      </c>
      <c r="C52" s="52" t="s">
        <v>196</v>
      </c>
      <c r="D52" s="39" t="s">
        <v>292</v>
      </c>
      <c r="E52" s="54" t="n">
        <v>3</v>
      </c>
      <c r="F52" s="39" t="s">
        <v>63</v>
      </c>
      <c r="G52" s="35" t="s">
        <v>295</v>
      </c>
    </row>
    <row r="53" customFormat="false" ht="18" hidden="false" customHeight="true" outlineLevel="0" collapsed="false">
      <c r="A53" s="32" t="s">
        <v>296</v>
      </c>
      <c r="B53" s="32" t="s">
        <v>241</v>
      </c>
      <c r="C53" s="50" t="s">
        <v>196</v>
      </c>
      <c r="D53" s="39" t="s">
        <v>292</v>
      </c>
      <c r="E53" s="54" t="n">
        <v>3</v>
      </c>
      <c r="F53" s="39" t="s">
        <v>63</v>
      </c>
      <c r="G53" s="32" t="s">
        <v>297</v>
      </c>
    </row>
    <row r="54" customFormat="false" ht="18" hidden="false" customHeight="true" outlineLevel="0" collapsed="false">
      <c r="A54" s="35" t="s">
        <v>298</v>
      </c>
      <c r="B54" s="35" t="s">
        <v>241</v>
      </c>
      <c r="C54" s="52" t="s">
        <v>196</v>
      </c>
      <c r="D54" s="39" t="s">
        <v>292</v>
      </c>
      <c r="E54" s="54" t="n">
        <v>3</v>
      </c>
      <c r="F54" s="39" t="s">
        <v>63</v>
      </c>
      <c r="G54" s="35" t="s">
        <v>299</v>
      </c>
    </row>
    <row r="55" customFormat="false" ht="18" hidden="false" customHeight="true" outlineLevel="0" collapsed="false">
      <c r="A55" s="32" t="s">
        <v>300</v>
      </c>
      <c r="B55" s="32" t="s">
        <v>200</v>
      </c>
      <c r="C55" s="50" t="s">
        <v>196</v>
      </c>
      <c r="D55" s="39" t="s">
        <v>292</v>
      </c>
      <c r="E55" s="54" t="n">
        <v>3</v>
      </c>
      <c r="F55" s="39" t="s">
        <v>63</v>
      </c>
      <c r="G55" s="32" t="s">
        <v>301</v>
      </c>
    </row>
    <row r="56" customFormat="false" ht="18" hidden="false" customHeight="true" outlineLevel="0" collapsed="false">
      <c r="A56" s="35" t="s">
        <v>302</v>
      </c>
      <c r="B56" s="35" t="s">
        <v>241</v>
      </c>
      <c r="C56" s="52" t="s">
        <v>196</v>
      </c>
      <c r="D56" s="39" t="s">
        <v>292</v>
      </c>
      <c r="E56" s="54" t="n">
        <v>3</v>
      </c>
      <c r="F56" s="39" t="s">
        <v>63</v>
      </c>
      <c r="G56" s="35" t="s">
        <v>303</v>
      </c>
    </row>
    <row r="57" customFormat="false" ht="18" hidden="false" customHeight="true" outlineLevel="0" collapsed="false">
      <c r="A57" s="32" t="s">
        <v>304</v>
      </c>
      <c r="B57" s="32" t="s">
        <v>195</v>
      </c>
      <c r="C57" s="50" t="s">
        <v>196</v>
      </c>
      <c r="D57" s="39" t="s">
        <v>292</v>
      </c>
      <c r="E57" s="54" t="n">
        <v>3</v>
      </c>
      <c r="F57" s="39" t="s">
        <v>63</v>
      </c>
      <c r="G57" s="32" t="s">
        <v>297</v>
      </c>
    </row>
    <row r="58" customFormat="false" ht="18" hidden="false" customHeight="true" outlineLevel="0" collapsed="false">
      <c r="A58" s="35" t="s">
        <v>305</v>
      </c>
      <c r="B58" s="35" t="s">
        <v>236</v>
      </c>
      <c r="C58" s="52" t="s">
        <v>196</v>
      </c>
      <c r="D58" s="39" t="s">
        <v>292</v>
      </c>
      <c r="E58" s="54" t="n">
        <v>3</v>
      </c>
      <c r="F58" s="39" t="s">
        <v>63</v>
      </c>
      <c r="G58" s="35" t="s">
        <v>306</v>
      </c>
    </row>
    <row r="59" customFormat="false" ht="18" hidden="false" customHeight="true" outlineLevel="0" collapsed="false">
      <c r="A59" s="32" t="s">
        <v>307</v>
      </c>
      <c r="B59" s="32" t="s">
        <v>241</v>
      </c>
      <c r="C59" s="50" t="s">
        <v>196</v>
      </c>
      <c r="D59" s="39" t="s">
        <v>292</v>
      </c>
      <c r="E59" s="54" t="n">
        <v>3</v>
      </c>
      <c r="F59" s="39" t="s">
        <v>63</v>
      </c>
      <c r="G59" s="32" t="s">
        <v>308</v>
      </c>
    </row>
    <row r="60" customFormat="false" ht="18" hidden="false" customHeight="true" outlineLevel="0" collapsed="false">
      <c r="A60" s="35" t="s">
        <v>309</v>
      </c>
      <c r="B60" s="35" t="s">
        <v>202</v>
      </c>
      <c r="C60" s="52" t="s">
        <v>196</v>
      </c>
      <c r="D60" s="39" t="s">
        <v>292</v>
      </c>
      <c r="E60" s="54" t="n">
        <v>3</v>
      </c>
      <c r="F60" s="39" t="s">
        <v>63</v>
      </c>
      <c r="G60" s="35" t="s">
        <v>297</v>
      </c>
    </row>
    <row r="61" customFormat="false" ht="18" hidden="false" customHeight="true" outlineLevel="0" collapsed="false">
      <c r="A61" s="32" t="s">
        <v>310</v>
      </c>
      <c r="B61" s="32" t="s">
        <v>241</v>
      </c>
      <c r="C61" s="50" t="s">
        <v>196</v>
      </c>
      <c r="D61" s="39" t="s">
        <v>292</v>
      </c>
      <c r="E61" s="54" t="n">
        <v>3</v>
      </c>
      <c r="F61" s="39" t="s">
        <v>63</v>
      </c>
      <c r="G61" s="32" t="s">
        <v>297</v>
      </c>
    </row>
    <row r="62" customFormat="false" ht="18" hidden="false" customHeight="true" outlineLevel="0" collapsed="false">
      <c r="A62" s="35" t="s">
        <v>311</v>
      </c>
      <c r="B62" s="35" t="s">
        <v>241</v>
      </c>
      <c r="C62" s="52" t="s">
        <v>196</v>
      </c>
      <c r="D62" s="39" t="s">
        <v>292</v>
      </c>
      <c r="E62" s="54" t="n">
        <v>3</v>
      </c>
      <c r="F62" s="39" t="s">
        <v>63</v>
      </c>
      <c r="G62" s="35" t="s">
        <v>297</v>
      </c>
    </row>
    <row r="63" customFormat="false" ht="18" hidden="false" customHeight="true" outlineLevel="0" collapsed="false">
      <c r="A63" s="32" t="s">
        <v>312</v>
      </c>
      <c r="B63" s="32" t="s">
        <v>241</v>
      </c>
      <c r="C63" s="50" t="s">
        <v>196</v>
      </c>
      <c r="D63" s="39" t="s">
        <v>292</v>
      </c>
      <c r="E63" s="54" t="n">
        <v>3</v>
      </c>
      <c r="F63" s="39" t="s">
        <v>63</v>
      </c>
      <c r="G63" s="32" t="s">
        <v>313</v>
      </c>
    </row>
    <row r="64" customFormat="false" ht="18" hidden="false" customHeight="true" outlineLevel="0" collapsed="false">
      <c r="A64" s="35" t="s">
        <v>314</v>
      </c>
      <c r="B64" s="35" t="s">
        <v>195</v>
      </c>
      <c r="C64" s="52" t="s">
        <v>196</v>
      </c>
      <c r="D64" s="39" t="s">
        <v>292</v>
      </c>
      <c r="E64" s="54" t="n">
        <v>3</v>
      </c>
      <c r="F64" s="39" t="s">
        <v>63</v>
      </c>
      <c r="G64" s="35" t="s">
        <v>297</v>
      </c>
    </row>
    <row r="65" customFormat="false" ht="18" hidden="false" customHeight="true" outlineLevel="0" collapsed="false">
      <c r="A65" s="32" t="s">
        <v>315</v>
      </c>
      <c r="B65" s="32" t="s">
        <v>241</v>
      </c>
      <c r="C65" s="50" t="s">
        <v>196</v>
      </c>
      <c r="D65" s="39" t="s">
        <v>292</v>
      </c>
      <c r="E65" s="54" t="n">
        <v>3</v>
      </c>
      <c r="F65" s="39" t="s">
        <v>63</v>
      </c>
      <c r="G65" s="32" t="s">
        <v>297</v>
      </c>
    </row>
    <row r="66" customFormat="false" ht="18" hidden="false" customHeight="true" outlineLevel="0" collapsed="false">
      <c r="A66" s="35" t="s">
        <v>316</v>
      </c>
      <c r="B66" s="35" t="s">
        <v>241</v>
      </c>
      <c r="C66" s="52" t="s">
        <v>196</v>
      </c>
      <c r="D66" s="39" t="s">
        <v>292</v>
      </c>
      <c r="E66" s="54" t="n">
        <v>3</v>
      </c>
      <c r="F66" s="39" t="s">
        <v>63</v>
      </c>
      <c r="G66" s="35" t="s">
        <v>317</v>
      </c>
    </row>
    <row r="67" customFormat="false" ht="18" hidden="false" customHeight="true" outlineLevel="0" collapsed="false">
      <c r="A67" s="32" t="s">
        <v>318</v>
      </c>
      <c r="B67" s="32" t="s">
        <v>241</v>
      </c>
      <c r="C67" s="50" t="s">
        <v>319</v>
      </c>
      <c r="D67" s="39" t="s">
        <v>292</v>
      </c>
      <c r="E67" s="54" t="n">
        <v>3</v>
      </c>
      <c r="F67" s="39" t="s">
        <v>63</v>
      </c>
      <c r="G67" s="32" t="s">
        <v>320</v>
      </c>
    </row>
    <row r="68" customFormat="false" ht="18" hidden="false" customHeight="true" outlineLevel="0" collapsed="false">
      <c r="A68" s="35" t="s">
        <v>321</v>
      </c>
      <c r="B68" s="35" t="s">
        <v>241</v>
      </c>
      <c r="C68" s="52" t="s">
        <v>196</v>
      </c>
      <c r="D68" s="39" t="s">
        <v>292</v>
      </c>
      <c r="E68" s="54" t="n">
        <v>3</v>
      </c>
      <c r="F68" s="39" t="s">
        <v>63</v>
      </c>
      <c r="G68" s="35" t="s">
        <v>297</v>
      </c>
    </row>
    <row r="69" customFormat="false" ht="18" hidden="false" customHeight="true" outlineLevel="0" collapsed="false">
      <c r="A69" s="32" t="s">
        <v>322</v>
      </c>
      <c r="B69" s="32" t="s">
        <v>200</v>
      </c>
      <c r="C69" s="50" t="s">
        <v>196</v>
      </c>
      <c r="D69" s="39" t="s">
        <v>292</v>
      </c>
      <c r="E69" s="54" t="n">
        <v>3</v>
      </c>
      <c r="F69" s="39" t="s">
        <v>63</v>
      </c>
      <c r="G69" s="32" t="s">
        <v>323</v>
      </c>
    </row>
    <row r="70" customFormat="false" ht="18" hidden="false" customHeight="true" outlineLevel="0" collapsed="false">
      <c r="A70" s="35" t="s">
        <v>324</v>
      </c>
      <c r="B70" s="35" t="s">
        <v>195</v>
      </c>
      <c r="C70" s="52" t="s">
        <v>196</v>
      </c>
      <c r="D70" s="39" t="s">
        <v>292</v>
      </c>
      <c r="E70" s="54" t="n">
        <v>3</v>
      </c>
      <c r="F70" s="39" t="s">
        <v>63</v>
      </c>
      <c r="G70" s="35" t="s">
        <v>297</v>
      </c>
    </row>
    <row r="71" customFormat="false" ht="18" hidden="false" customHeight="true" outlineLevel="0" collapsed="false">
      <c r="A71" s="32" t="s">
        <v>325</v>
      </c>
      <c r="B71" s="32" t="s">
        <v>236</v>
      </c>
      <c r="C71" s="50" t="s">
        <v>196</v>
      </c>
      <c r="D71" s="39" t="s">
        <v>292</v>
      </c>
      <c r="E71" s="54" t="n">
        <v>3</v>
      </c>
      <c r="F71" s="39" t="s">
        <v>63</v>
      </c>
      <c r="G71" s="32" t="s">
        <v>320</v>
      </c>
    </row>
    <row r="72" customFormat="false" ht="18" hidden="false" customHeight="true" outlineLevel="0" collapsed="false">
      <c r="A72" s="35" t="s">
        <v>326</v>
      </c>
      <c r="B72" s="35" t="s">
        <v>200</v>
      </c>
      <c r="C72" s="52" t="s">
        <v>196</v>
      </c>
      <c r="D72" s="39" t="s">
        <v>292</v>
      </c>
      <c r="E72" s="54" t="n">
        <v>3</v>
      </c>
      <c r="F72" s="39" t="s">
        <v>63</v>
      </c>
      <c r="G72" s="35" t="s">
        <v>327</v>
      </c>
    </row>
    <row r="73" customFormat="false" ht="18" hidden="false" customHeight="true" outlineLevel="0" collapsed="false">
      <c r="A73" s="32" t="s">
        <v>328</v>
      </c>
      <c r="B73" s="32" t="s">
        <v>241</v>
      </c>
      <c r="C73" s="50" t="s">
        <v>196</v>
      </c>
      <c r="D73" s="39" t="s">
        <v>292</v>
      </c>
      <c r="E73" s="54" t="n">
        <v>3</v>
      </c>
      <c r="F73" s="39" t="s">
        <v>63</v>
      </c>
      <c r="G73" s="32" t="s">
        <v>297</v>
      </c>
    </row>
    <row r="74" customFormat="false" ht="18" hidden="false" customHeight="true" outlineLevel="0" collapsed="false">
      <c r="A74" s="35" t="s">
        <v>329</v>
      </c>
      <c r="B74" s="35" t="s">
        <v>195</v>
      </c>
      <c r="C74" s="52" t="s">
        <v>319</v>
      </c>
      <c r="D74" s="41" t="s">
        <v>330</v>
      </c>
      <c r="E74" s="55" t="n">
        <v>4</v>
      </c>
      <c r="F74" s="41" t="s">
        <v>66</v>
      </c>
      <c r="G74" s="35" t="s">
        <v>331</v>
      </c>
    </row>
    <row r="75" customFormat="false" ht="18" hidden="false" customHeight="true" outlineLevel="0" collapsed="false">
      <c r="A75" s="32" t="s">
        <v>332</v>
      </c>
      <c r="B75" s="32" t="s">
        <v>236</v>
      </c>
      <c r="C75" s="50" t="s">
        <v>319</v>
      </c>
      <c r="D75" s="41" t="s">
        <v>330</v>
      </c>
      <c r="E75" s="55" t="n">
        <v>4</v>
      </c>
      <c r="F75" s="41" t="s">
        <v>66</v>
      </c>
      <c r="G75" s="32" t="s">
        <v>333</v>
      </c>
    </row>
    <row r="76" customFormat="false" ht="18" hidden="false" customHeight="true" outlineLevel="0" collapsed="false">
      <c r="A76" s="35" t="s">
        <v>334</v>
      </c>
      <c r="B76" s="35" t="s">
        <v>195</v>
      </c>
      <c r="C76" s="52" t="s">
        <v>319</v>
      </c>
      <c r="D76" s="41" t="s">
        <v>330</v>
      </c>
      <c r="E76" s="55" t="n">
        <v>4</v>
      </c>
      <c r="F76" s="41" t="s">
        <v>66</v>
      </c>
      <c r="G76" s="35" t="s">
        <v>335</v>
      </c>
    </row>
    <row r="77" customFormat="false" ht="18" hidden="false" customHeight="true" outlineLevel="0" collapsed="false">
      <c r="A77" s="32" t="s">
        <v>336</v>
      </c>
      <c r="B77" s="32" t="s">
        <v>195</v>
      </c>
      <c r="C77" s="50" t="s">
        <v>319</v>
      </c>
      <c r="D77" s="41" t="s">
        <v>330</v>
      </c>
      <c r="E77" s="55" t="n">
        <v>4</v>
      </c>
      <c r="F77" s="41" t="s">
        <v>66</v>
      </c>
      <c r="G77" s="32" t="s">
        <v>337</v>
      </c>
    </row>
    <row r="78" customFormat="false" ht="18" hidden="false" customHeight="true" outlineLevel="0" collapsed="false">
      <c r="A78" s="35" t="s">
        <v>338</v>
      </c>
      <c r="B78" s="35" t="s">
        <v>276</v>
      </c>
      <c r="C78" s="52" t="s">
        <v>319</v>
      </c>
      <c r="D78" s="41" t="s">
        <v>339</v>
      </c>
      <c r="E78" s="55" t="n">
        <v>4</v>
      </c>
      <c r="F78" s="41" t="s">
        <v>66</v>
      </c>
      <c r="G78" s="35" t="s">
        <v>340</v>
      </c>
    </row>
    <row r="79" customFormat="false" ht="18" hidden="false" customHeight="true" outlineLevel="0" collapsed="false">
      <c r="A79" s="32" t="s">
        <v>341</v>
      </c>
      <c r="B79" s="32" t="s">
        <v>202</v>
      </c>
      <c r="C79" s="50" t="s">
        <v>319</v>
      </c>
      <c r="D79" s="41" t="s">
        <v>342</v>
      </c>
      <c r="E79" s="55" t="n">
        <v>4</v>
      </c>
      <c r="F79" s="41" t="s">
        <v>66</v>
      </c>
      <c r="G79" s="32" t="s">
        <v>343</v>
      </c>
    </row>
    <row r="80" customFormat="false" ht="18" hidden="false" customHeight="true" outlineLevel="0" collapsed="false">
      <c r="A80" s="35" t="s">
        <v>344</v>
      </c>
      <c r="B80" s="35" t="s">
        <v>236</v>
      </c>
      <c r="C80" s="52" t="s">
        <v>319</v>
      </c>
      <c r="D80" s="41" t="s">
        <v>342</v>
      </c>
      <c r="E80" s="55" t="n">
        <v>4</v>
      </c>
      <c r="F80" s="41" t="s">
        <v>66</v>
      </c>
      <c r="G80" s="35" t="s">
        <v>345</v>
      </c>
    </row>
    <row r="81" customFormat="false" ht="18" hidden="false" customHeight="true" outlineLevel="0" collapsed="false">
      <c r="A81" s="32" t="s">
        <v>346</v>
      </c>
      <c r="B81" s="32" t="s">
        <v>200</v>
      </c>
      <c r="C81" s="50" t="s">
        <v>319</v>
      </c>
      <c r="D81" s="41" t="s">
        <v>342</v>
      </c>
      <c r="E81" s="55" t="n">
        <v>4</v>
      </c>
      <c r="F81" s="41" t="s">
        <v>66</v>
      </c>
      <c r="G81" s="32" t="s">
        <v>347</v>
      </c>
    </row>
    <row r="82" customFormat="false" ht="18" hidden="false" customHeight="true" outlineLevel="0" collapsed="false">
      <c r="A82" s="35" t="s">
        <v>348</v>
      </c>
      <c r="B82" s="35" t="s">
        <v>241</v>
      </c>
      <c r="C82" s="52" t="s">
        <v>196</v>
      </c>
      <c r="D82" s="34" t="s">
        <v>197</v>
      </c>
      <c r="E82" s="54" t="n">
        <v>3</v>
      </c>
      <c r="F82" s="39" t="s">
        <v>63</v>
      </c>
      <c r="G82" s="35" t="s">
        <v>349</v>
      </c>
    </row>
    <row r="83" customFormat="false" ht="18" hidden="false" customHeight="true" outlineLevel="0" collapsed="false">
      <c r="A83" s="32" t="s">
        <v>350</v>
      </c>
      <c r="B83" s="32" t="s">
        <v>195</v>
      </c>
      <c r="C83" s="50" t="s">
        <v>196</v>
      </c>
      <c r="D83" s="34" t="s">
        <v>197</v>
      </c>
      <c r="E83" s="54" t="n">
        <v>3</v>
      </c>
      <c r="F83" s="39" t="s">
        <v>63</v>
      </c>
      <c r="G83" s="32" t="s">
        <v>351</v>
      </c>
    </row>
    <row r="85" customFormat="false" ht="30" hidden="false" customHeight="true" outlineLevel="0" collapsed="false">
      <c r="A85" s="30" t="s">
        <v>352</v>
      </c>
      <c r="B85" s="30"/>
      <c r="C85" s="30"/>
      <c r="D85" s="30"/>
      <c r="E85" s="30"/>
      <c r="F85" s="30"/>
      <c r="G85" s="30"/>
    </row>
  </sheetData>
  <mergeCells count="2">
    <mergeCell ref="A1:G1"/>
    <mergeCell ref="A85:G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24"/>
    <col collapsed="false" customWidth="true" hidden="false" outlineLevel="0" max="4" min="4" style="1" width="52"/>
    <col collapsed="false" customWidth="true" hidden="false" outlineLevel="0" max="5" min="5" style="1" width="14"/>
    <col collapsed="false" customWidth="true" hidden="false" outlineLevel="0" max="6" min="6" style="1" width="48"/>
  </cols>
  <sheetData>
    <row r="1" customFormat="false" ht="17.25" hidden="false" customHeight="true" outlineLevel="0" collapsed="false">
      <c r="A1" s="56" t="s">
        <v>353</v>
      </c>
      <c r="B1" s="56"/>
      <c r="C1" s="56"/>
      <c r="D1" s="56"/>
      <c r="E1" s="56"/>
      <c r="F1" s="56"/>
    </row>
    <row r="2" customFormat="false" ht="15" hidden="false" customHeight="true" outlineLevel="0" collapsed="false">
      <c r="A2" s="57" t="s">
        <v>354</v>
      </c>
      <c r="B2" s="57"/>
      <c r="C2" s="57"/>
      <c r="D2" s="57"/>
      <c r="E2" s="57"/>
      <c r="F2" s="57"/>
    </row>
    <row r="4" customFormat="false" ht="25.5" hidden="false" customHeight="true" outlineLevel="0" collapsed="false">
      <c r="A4" s="58" t="s">
        <v>355</v>
      </c>
      <c r="B4" s="58"/>
      <c r="C4" s="58"/>
      <c r="D4" s="58"/>
      <c r="E4" s="58"/>
      <c r="F4" s="58"/>
    </row>
    <row r="5" customFormat="false" ht="21.75" hidden="false" customHeight="true" outlineLevel="0" collapsed="false">
      <c r="A5" s="59" t="s">
        <v>356</v>
      </c>
      <c r="B5" s="59" t="s">
        <v>357</v>
      </c>
      <c r="C5" s="59" t="s">
        <v>358</v>
      </c>
      <c r="D5" s="59" t="s">
        <v>359</v>
      </c>
      <c r="E5" s="59" t="s">
        <v>360</v>
      </c>
      <c r="F5" s="59" t="s">
        <v>361</v>
      </c>
    </row>
    <row r="6" customFormat="false" ht="23.25" hidden="false" customHeight="true" outlineLevel="0" collapsed="false">
      <c r="A6" s="60" t="n">
        <v>1</v>
      </c>
      <c r="B6" s="61" t="s">
        <v>362</v>
      </c>
      <c r="C6" s="62" t="s">
        <v>363</v>
      </c>
      <c r="D6" s="62" t="s">
        <v>364</v>
      </c>
      <c r="E6" s="63" t="s">
        <v>365</v>
      </c>
      <c r="F6" s="62" t="s">
        <v>366</v>
      </c>
    </row>
    <row r="7" customFormat="false" ht="15" hidden="false" customHeight="true" outlineLevel="0" collapsed="false">
      <c r="A7" s="60" t="n">
        <v>2</v>
      </c>
      <c r="B7" s="61"/>
      <c r="C7" s="62" t="s">
        <v>367</v>
      </c>
      <c r="D7" s="62" t="s">
        <v>368</v>
      </c>
      <c r="E7" s="60" t="s">
        <v>369</v>
      </c>
      <c r="F7" s="62" t="s">
        <v>370</v>
      </c>
    </row>
    <row r="8" customFormat="false" ht="15" hidden="false" customHeight="true" outlineLevel="0" collapsed="false">
      <c r="A8" s="60" t="n">
        <v>3</v>
      </c>
      <c r="B8" s="61"/>
      <c r="C8" s="62" t="s">
        <v>371</v>
      </c>
      <c r="D8" s="62" t="s">
        <v>372</v>
      </c>
      <c r="E8" s="64" t="s">
        <v>373</v>
      </c>
      <c r="F8" s="62" t="s">
        <v>374</v>
      </c>
    </row>
    <row r="9" customFormat="false" ht="15" hidden="false" customHeight="true" outlineLevel="0" collapsed="false">
      <c r="A9" s="60" t="n">
        <v>4</v>
      </c>
      <c r="B9" s="61" t="s">
        <v>375</v>
      </c>
      <c r="C9" s="62" t="s">
        <v>363</v>
      </c>
      <c r="D9" s="62" t="s">
        <v>376</v>
      </c>
      <c r="E9" s="63" t="s">
        <v>365</v>
      </c>
      <c r="F9" s="62" t="s">
        <v>377</v>
      </c>
    </row>
    <row r="10" customFormat="false" ht="15" hidden="false" customHeight="true" outlineLevel="0" collapsed="false">
      <c r="A10" s="60" t="n">
        <v>5</v>
      </c>
      <c r="B10" s="61"/>
      <c r="C10" s="62" t="s">
        <v>378</v>
      </c>
      <c r="D10" s="62" t="s">
        <v>379</v>
      </c>
      <c r="E10" s="64" t="s">
        <v>373</v>
      </c>
      <c r="F10" s="62" t="s">
        <v>380</v>
      </c>
    </row>
    <row r="11" customFormat="false" ht="15" hidden="false" customHeight="true" outlineLevel="0" collapsed="false">
      <c r="A11" s="60" t="n">
        <v>6</v>
      </c>
      <c r="B11" s="61"/>
      <c r="C11" s="62" t="s">
        <v>381</v>
      </c>
      <c r="D11" s="62" t="s">
        <v>382</v>
      </c>
      <c r="E11" s="64" t="s">
        <v>373</v>
      </c>
      <c r="F11" s="62" t="s">
        <v>383</v>
      </c>
    </row>
    <row r="12" customFormat="false" ht="15" hidden="false" customHeight="true" outlineLevel="0" collapsed="false">
      <c r="A12" s="60" t="n">
        <v>7</v>
      </c>
      <c r="B12" s="61" t="s">
        <v>384</v>
      </c>
      <c r="C12" s="62" t="s">
        <v>363</v>
      </c>
      <c r="D12" s="62" t="s">
        <v>385</v>
      </c>
      <c r="E12" s="63" t="s">
        <v>365</v>
      </c>
      <c r="F12" s="62" t="s">
        <v>377</v>
      </c>
    </row>
    <row r="13" customFormat="false" ht="15" hidden="false" customHeight="true" outlineLevel="0" collapsed="false">
      <c r="A13" s="60" t="n">
        <v>8</v>
      </c>
      <c r="B13" s="61"/>
      <c r="C13" s="62" t="s">
        <v>386</v>
      </c>
      <c r="D13" s="62" t="s">
        <v>387</v>
      </c>
      <c r="E13" s="65" t="s">
        <v>388</v>
      </c>
      <c r="F13" s="62" t="s">
        <v>389</v>
      </c>
    </row>
    <row r="14" customFormat="false" ht="15" hidden="false" customHeight="true" outlineLevel="0" collapsed="false">
      <c r="A14" s="60" t="n">
        <v>9</v>
      </c>
      <c r="B14" s="61"/>
      <c r="C14" s="62" t="s">
        <v>371</v>
      </c>
      <c r="D14" s="62" t="s">
        <v>390</v>
      </c>
      <c r="E14" s="64" t="s">
        <v>373</v>
      </c>
      <c r="F14" s="62" t="s">
        <v>391</v>
      </c>
    </row>
    <row r="15" customFormat="false" ht="23.25" hidden="false" customHeight="true" outlineLevel="0" collapsed="false">
      <c r="A15" s="60" t="n">
        <v>10</v>
      </c>
      <c r="B15" s="61" t="s">
        <v>392</v>
      </c>
      <c r="C15" s="62" t="s">
        <v>393</v>
      </c>
      <c r="D15" s="62" t="s">
        <v>394</v>
      </c>
      <c r="E15" s="60" t="s">
        <v>369</v>
      </c>
      <c r="F15" s="62" t="s">
        <v>395</v>
      </c>
    </row>
    <row r="16" customFormat="false" ht="15" hidden="false" customHeight="true" outlineLevel="0" collapsed="false">
      <c r="A16" s="60" t="n">
        <v>11</v>
      </c>
      <c r="B16" s="61"/>
      <c r="C16" s="62" t="s">
        <v>378</v>
      </c>
      <c r="D16" s="62" t="s">
        <v>396</v>
      </c>
      <c r="E16" s="60" t="s">
        <v>369</v>
      </c>
      <c r="F16" s="62" t="s">
        <v>397</v>
      </c>
    </row>
    <row r="17" customFormat="false" ht="15" hidden="false" customHeight="true" outlineLevel="0" collapsed="false">
      <c r="A17" s="60" t="n">
        <v>12</v>
      </c>
      <c r="B17" s="61"/>
      <c r="C17" s="62" t="s">
        <v>398</v>
      </c>
      <c r="D17" s="62" t="s">
        <v>399</v>
      </c>
      <c r="E17" s="66" t="s">
        <v>400</v>
      </c>
      <c r="F17" s="62" t="s">
        <v>401</v>
      </c>
    </row>
    <row r="18" customFormat="false" ht="15" hidden="false" customHeight="true" outlineLevel="0" collapsed="false">
      <c r="A18" s="60" t="n">
        <v>13</v>
      </c>
      <c r="B18" s="61" t="s">
        <v>402</v>
      </c>
      <c r="C18" s="62" t="s">
        <v>403</v>
      </c>
      <c r="D18" s="62" t="s">
        <v>404</v>
      </c>
      <c r="E18" s="60" t="s">
        <v>369</v>
      </c>
      <c r="F18" s="62" t="s">
        <v>405</v>
      </c>
    </row>
    <row r="19" customFormat="false" ht="15" hidden="false" customHeight="true" outlineLevel="0" collapsed="false">
      <c r="A19" s="60" t="n">
        <v>14</v>
      </c>
      <c r="B19" s="61"/>
      <c r="C19" s="62" t="s">
        <v>378</v>
      </c>
      <c r="D19" s="62" t="s">
        <v>406</v>
      </c>
      <c r="E19" s="60" t="s">
        <v>369</v>
      </c>
      <c r="F19" s="62" t="s">
        <v>407</v>
      </c>
    </row>
    <row r="20" customFormat="false" ht="15" hidden="false" customHeight="true" outlineLevel="0" collapsed="false">
      <c r="A20" s="60" t="n">
        <v>15</v>
      </c>
      <c r="B20" s="61"/>
      <c r="C20" s="62" t="s">
        <v>371</v>
      </c>
      <c r="D20" s="62" t="s">
        <v>408</v>
      </c>
      <c r="E20" s="64" t="s">
        <v>373</v>
      </c>
      <c r="F20" s="62" t="s">
        <v>391</v>
      </c>
    </row>
    <row r="21" customFormat="false" ht="23.25" hidden="false" customHeight="true" outlineLevel="0" collapsed="false">
      <c r="A21" s="60" t="n">
        <v>16</v>
      </c>
      <c r="B21" s="61" t="s">
        <v>409</v>
      </c>
      <c r="C21" s="62" t="s">
        <v>410</v>
      </c>
      <c r="D21" s="62" t="s">
        <v>411</v>
      </c>
      <c r="E21" s="66" t="s">
        <v>412</v>
      </c>
      <c r="F21" s="62" t="s">
        <v>413</v>
      </c>
    </row>
    <row r="22" customFormat="false" ht="15" hidden="false" customHeight="true" outlineLevel="0" collapsed="false">
      <c r="A22" s="60" t="n">
        <v>17</v>
      </c>
      <c r="B22" s="61"/>
      <c r="C22" s="62" t="s">
        <v>363</v>
      </c>
      <c r="D22" s="62" t="s">
        <v>414</v>
      </c>
      <c r="E22" s="63" t="s">
        <v>365</v>
      </c>
      <c r="F22" s="62" t="s">
        <v>415</v>
      </c>
    </row>
    <row r="23" customFormat="false" ht="23.25" hidden="false" customHeight="true" outlineLevel="0" collapsed="false">
      <c r="A23" s="60" t="n">
        <v>18</v>
      </c>
      <c r="B23" s="61"/>
      <c r="C23" s="62" t="s">
        <v>416</v>
      </c>
      <c r="D23" s="62" t="s">
        <v>417</v>
      </c>
      <c r="E23" s="60" t="s">
        <v>369</v>
      </c>
      <c r="F23" s="62" t="s">
        <v>418</v>
      </c>
    </row>
    <row r="24" customFormat="false" ht="15" hidden="false" customHeight="true" outlineLevel="0" collapsed="false">
      <c r="A24" s="60" t="n">
        <v>19</v>
      </c>
      <c r="B24" s="61"/>
      <c r="C24" s="62" t="s">
        <v>378</v>
      </c>
      <c r="D24" s="62" t="s">
        <v>419</v>
      </c>
      <c r="E24" s="64" t="s">
        <v>373</v>
      </c>
      <c r="F24" s="62" t="s">
        <v>420</v>
      </c>
    </row>
    <row r="25" customFormat="false" ht="15" hidden="false" customHeight="true" outlineLevel="0" collapsed="false">
      <c r="A25" s="60" t="n">
        <v>20</v>
      </c>
      <c r="B25" s="61" t="s">
        <v>421</v>
      </c>
      <c r="C25" s="62" t="s">
        <v>422</v>
      </c>
      <c r="D25" s="62" t="s">
        <v>423</v>
      </c>
      <c r="E25" s="66" t="s">
        <v>424</v>
      </c>
      <c r="F25" s="62" t="s">
        <v>425</v>
      </c>
    </row>
    <row r="26" customFormat="false" ht="15" hidden="false" customHeight="true" outlineLevel="0" collapsed="false">
      <c r="A26" s="60" t="n">
        <v>21</v>
      </c>
      <c r="B26" s="61"/>
      <c r="C26" s="62" t="s">
        <v>363</v>
      </c>
      <c r="D26" s="62" t="s">
        <v>426</v>
      </c>
      <c r="E26" s="63" t="s">
        <v>365</v>
      </c>
      <c r="F26" s="62" t="s">
        <v>377</v>
      </c>
    </row>
    <row r="27" customFormat="false" ht="15" hidden="false" customHeight="true" outlineLevel="0" collapsed="false">
      <c r="A27" s="60" t="n">
        <v>22</v>
      </c>
      <c r="B27" s="61"/>
      <c r="C27" s="62" t="s">
        <v>371</v>
      </c>
      <c r="D27" s="62" t="s">
        <v>427</v>
      </c>
      <c r="E27" s="64" t="s">
        <v>373</v>
      </c>
      <c r="F27" s="62" t="s">
        <v>391</v>
      </c>
    </row>
    <row r="28" customFormat="false" ht="15" hidden="false" customHeight="true" outlineLevel="0" collapsed="false">
      <c r="A28" s="60" t="n">
        <v>23</v>
      </c>
      <c r="B28" s="61"/>
      <c r="C28" s="62" t="s">
        <v>428</v>
      </c>
      <c r="D28" s="62" t="s">
        <v>429</v>
      </c>
      <c r="E28" s="60" t="s">
        <v>369</v>
      </c>
      <c r="F28" s="62" t="s">
        <v>430</v>
      </c>
    </row>
    <row r="29" customFormat="false" ht="15" hidden="false" customHeight="true" outlineLevel="0" collapsed="false">
      <c r="A29" s="60" t="n">
        <v>24</v>
      </c>
      <c r="B29" s="61" t="s">
        <v>431</v>
      </c>
      <c r="C29" s="62" t="s">
        <v>432</v>
      </c>
      <c r="D29" s="62" t="s">
        <v>433</v>
      </c>
      <c r="E29" s="63" t="s">
        <v>365</v>
      </c>
      <c r="F29" s="62" t="s">
        <v>434</v>
      </c>
    </row>
    <row r="30" customFormat="false" ht="15" hidden="false" customHeight="true" outlineLevel="0" collapsed="false">
      <c r="A30" s="60" t="n">
        <v>25</v>
      </c>
      <c r="B30" s="61"/>
      <c r="C30" s="62" t="s">
        <v>435</v>
      </c>
      <c r="D30" s="62" t="s">
        <v>436</v>
      </c>
      <c r="E30" s="66" t="s">
        <v>400</v>
      </c>
      <c r="F30" s="62" t="s">
        <v>437</v>
      </c>
    </row>
    <row r="31" customFormat="false" ht="23.25" hidden="false" customHeight="true" outlineLevel="0" collapsed="false">
      <c r="A31" s="60" t="n">
        <v>26</v>
      </c>
      <c r="B31" s="61"/>
      <c r="C31" s="62" t="s">
        <v>438</v>
      </c>
      <c r="D31" s="62" t="s">
        <v>439</v>
      </c>
      <c r="E31" s="60" t="s">
        <v>369</v>
      </c>
      <c r="F31" s="62" t="s">
        <v>440</v>
      </c>
    </row>
    <row r="32" customFormat="false" ht="15" hidden="false" customHeight="true" outlineLevel="0" collapsed="false">
      <c r="A32" s="60" t="n">
        <v>27</v>
      </c>
      <c r="B32" s="61" t="s">
        <v>441</v>
      </c>
      <c r="C32" s="62" t="s">
        <v>442</v>
      </c>
      <c r="D32" s="62" t="s">
        <v>443</v>
      </c>
      <c r="E32" s="60" t="s">
        <v>369</v>
      </c>
      <c r="F32" s="62" t="s">
        <v>444</v>
      </c>
    </row>
    <row r="33" customFormat="false" ht="15" hidden="false" customHeight="true" outlineLevel="0" collapsed="false">
      <c r="A33" s="60" t="n">
        <v>28</v>
      </c>
      <c r="B33" s="61"/>
      <c r="C33" s="62" t="s">
        <v>445</v>
      </c>
      <c r="D33" s="62" t="s">
        <v>446</v>
      </c>
      <c r="E33" s="60" t="s">
        <v>369</v>
      </c>
      <c r="F33" s="62" t="s">
        <v>447</v>
      </c>
    </row>
    <row r="34" customFormat="false" ht="15" hidden="false" customHeight="true" outlineLevel="0" collapsed="false">
      <c r="A34" s="60" t="n">
        <v>29</v>
      </c>
      <c r="B34" s="61"/>
      <c r="C34" s="62" t="s">
        <v>448</v>
      </c>
      <c r="D34" s="62" t="s">
        <v>449</v>
      </c>
      <c r="E34" s="64" t="s">
        <v>373</v>
      </c>
      <c r="F34" s="62" t="s">
        <v>374</v>
      </c>
    </row>
    <row r="35" customFormat="false" ht="23.25" hidden="false" customHeight="true" outlineLevel="0" collapsed="false">
      <c r="A35" s="60" t="n">
        <v>30</v>
      </c>
      <c r="B35" s="61" t="s">
        <v>450</v>
      </c>
      <c r="C35" s="62" t="s">
        <v>451</v>
      </c>
      <c r="D35" s="62" t="s">
        <v>452</v>
      </c>
      <c r="E35" s="64" t="s">
        <v>373</v>
      </c>
      <c r="F35" s="62" t="s">
        <v>453</v>
      </c>
    </row>
    <row r="36" customFormat="false" ht="15" hidden="false" customHeight="true" outlineLevel="0" collapsed="false">
      <c r="A36" s="60" t="n">
        <v>31</v>
      </c>
      <c r="B36" s="61"/>
      <c r="C36" s="62" t="s">
        <v>422</v>
      </c>
      <c r="D36" s="62" t="s">
        <v>423</v>
      </c>
      <c r="E36" s="66" t="s">
        <v>424</v>
      </c>
      <c r="F36" s="62" t="s">
        <v>454</v>
      </c>
    </row>
    <row r="37" customFormat="false" ht="15" hidden="false" customHeight="true" outlineLevel="0" collapsed="false">
      <c r="A37" s="60" t="n">
        <v>32</v>
      </c>
      <c r="B37" s="61"/>
      <c r="C37" s="62" t="s">
        <v>363</v>
      </c>
      <c r="D37" s="62" t="s">
        <v>455</v>
      </c>
      <c r="E37" s="63" t="s">
        <v>365</v>
      </c>
      <c r="F37" s="62" t="s">
        <v>415</v>
      </c>
    </row>
    <row r="38" customFormat="false" ht="15" hidden="false" customHeight="true" outlineLevel="0" collapsed="false">
      <c r="A38" s="60" t="n">
        <v>33</v>
      </c>
      <c r="B38" s="61" t="s">
        <v>456</v>
      </c>
      <c r="C38" s="62" t="s">
        <v>457</v>
      </c>
      <c r="D38" s="62" t="s">
        <v>458</v>
      </c>
      <c r="E38" s="65" t="s">
        <v>388</v>
      </c>
      <c r="F38" s="62" t="s">
        <v>459</v>
      </c>
    </row>
    <row r="39" customFormat="false" ht="15" hidden="false" customHeight="true" outlineLevel="0" collapsed="false">
      <c r="A39" s="60" t="n">
        <v>34</v>
      </c>
      <c r="B39" s="61"/>
      <c r="C39" s="62" t="s">
        <v>363</v>
      </c>
      <c r="D39" s="62" t="s">
        <v>460</v>
      </c>
      <c r="E39" s="63" t="s">
        <v>365</v>
      </c>
      <c r="F39" s="62" t="s">
        <v>377</v>
      </c>
    </row>
    <row r="40" customFormat="false" ht="23.25" hidden="false" customHeight="true" outlineLevel="0" collapsed="false">
      <c r="A40" s="60" t="n">
        <v>35</v>
      </c>
      <c r="B40" s="61"/>
      <c r="C40" s="62" t="s">
        <v>461</v>
      </c>
      <c r="D40" s="62" t="s">
        <v>462</v>
      </c>
      <c r="E40" s="60" t="s">
        <v>369</v>
      </c>
      <c r="F40" s="62" t="s">
        <v>463</v>
      </c>
    </row>
    <row r="42" customFormat="false" ht="25.5" hidden="false" customHeight="true" outlineLevel="0" collapsed="false">
      <c r="A42" s="58" t="s">
        <v>464</v>
      </c>
      <c r="B42" s="58"/>
      <c r="C42" s="58"/>
      <c r="D42" s="58"/>
      <c r="E42" s="58"/>
      <c r="F42" s="58"/>
    </row>
    <row r="43" customFormat="false" ht="21.75" hidden="false" customHeight="true" outlineLevel="0" collapsed="false">
      <c r="A43" s="59" t="s">
        <v>356</v>
      </c>
      <c r="B43" s="59" t="s">
        <v>357</v>
      </c>
      <c r="C43" s="59" t="s">
        <v>358</v>
      </c>
      <c r="D43" s="59" t="s">
        <v>359</v>
      </c>
      <c r="E43" s="59" t="s">
        <v>360</v>
      </c>
      <c r="F43" s="59" t="s">
        <v>361</v>
      </c>
    </row>
    <row r="44" customFormat="false" ht="23.25" hidden="false" customHeight="true" outlineLevel="0" collapsed="false">
      <c r="A44" s="60" t="n">
        <v>36</v>
      </c>
      <c r="B44" s="61" t="s">
        <v>465</v>
      </c>
      <c r="C44" s="62" t="s">
        <v>466</v>
      </c>
      <c r="D44" s="62" t="s">
        <v>467</v>
      </c>
      <c r="E44" s="65" t="s">
        <v>388</v>
      </c>
      <c r="F44" s="62" t="s">
        <v>468</v>
      </c>
    </row>
    <row r="45" customFormat="false" ht="15" hidden="false" customHeight="true" outlineLevel="0" collapsed="false">
      <c r="A45" s="60" t="n">
        <v>37</v>
      </c>
      <c r="B45" s="61"/>
      <c r="C45" s="62" t="s">
        <v>469</v>
      </c>
      <c r="D45" s="62" t="s">
        <v>470</v>
      </c>
      <c r="E45" s="64" t="s">
        <v>373</v>
      </c>
      <c r="F45" s="62" t="s">
        <v>471</v>
      </c>
    </row>
    <row r="46" customFormat="false" ht="15" hidden="false" customHeight="true" outlineLevel="0" collapsed="false">
      <c r="A46" s="60" t="n">
        <v>38</v>
      </c>
      <c r="B46" s="61"/>
      <c r="C46" s="62" t="s">
        <v>472</v>
      </c>
      <c r="D46" s="62" t="s">
        <v>473</v>
      </c>
      <c r="E46" s="63" t="s">
        <v>365</v>
      </c>
      <c r="F46" s="62" t="s">
        <v>474</v>
      </c>
    </row>
    <row r="47" customFormat="false" ht="15" hidden="false" customHeight="true" outlineLevel="0" collapsed="false">
      <c r="A47" s="60" t="n">
        <v>39</v>
      </c>
      <c r="B47" s="61"/>
      <c r="C47" s="62" t="s">
        <v>475</v>
      </c>
      <c r="D47" s="62" t="s">
        <v>476</v>
      </c>
      <c r="E47" s="60" t="s">
        <v>369</v>
      </c>
      <c r="F47" s="62" t="s">
        <v>477</v>
      </c>
    </row>
    <row r="48" customFormat="false" ht="15" hidden="false" customHeight="true" outlineLevel="0" collapsed="false">
      <c r="A48" s="60" t="n">
        <v>40</v>
      </c>
      <c r="B48" s="61" t="s">
        <v>478</v>
      </c>
      <c r="C48" s="62" t="s">
        <v>422</v>
      </c>
      <c r="D48" s="62" t="s">
        <v>423</v>
      </c>
      <c r="E48" s="66" t="s">
        <v>424</v>
      </c>
      <c r="F48" s="62" t="s">
        <v>425</v>
      </c>
    </row>
    <row r="49" customFormat="false" ht="15" hidden="false" customHeight="true" outlineLevel="0" collapsed="false">
      <c r="A49" s="60" t="n">
        <v>41</v>
      </c>
      <c r="B49" s="61"/>
      <c r="C49" s="62" t="s">
        <v>472</v>
      </c>
      <c r="D49" s="62" t="s">
        <v>479</v>
      </c>
      <c r="E49" s="63" t="s">
        <v>365</v>
      </c>
      <c r="F49" s="62" t="s">
        <v>480</v>
      </c>
    </row>
    <row r="50" customFormat="false" ht="15" hidden="false" customHeight="true" outlineLevel="0" collapsed="false">
      <c r="A50" s="60" t="n">
        <v>42</v>
      </c>
      <c r="B50" s="61"/>
      <c r="C50" s="62" t="s">
        <v>371</v>
      </c>
      <c r="D50" s="62" t="s">
        <v>481</v>
      </c>
      <c r="E50" s="64" t="s">
        <v>373</v>
      </c>
      <c r="F50" s="62" t="s">
        <v>391</v>
      </c>
    </row>
    <row r="51" customFormat="false" ht="15" hidden="false" customHeight="true" outlineLevel="0" collapsed="false">
      <c r="A51" s="60" t="n">
        <v>43</v>
      </c>
      <c r="B51" s="61"/>
      <c r="C51" s="62" t="s">
        <v>381</v>
      </c>
      <c r="D51" s="62" t="s">
        <v>482</v>
      </c>
      <c r="E51" s="64" t="s">
        <v>373</v>
      </c>
      <c r="F51" s="62" t="s">
        <v>483</v>
      </c>
    </row>
    <row r="52" customFormat="false" ht="15" hidden="false" customHeight="true" outlineLevel="0" collapsed="false">
      <c r="A52" s="60" t="n">
        <v>44</v>
      </c>
      <c r="B52" s="61" t="s">
        <v>484</v>
      </c>
      <c r="C52" s="62" t="s">
        <v>472</v>
      </c>
      <c r="D52" s="62" t="s">
        <v>485</v>
      </c>
      <c r="E52" s="63" t="s">
        <v>365</v>
      </c>
      <c r="F52" s="62" t="s">
        <v>486</v>
      </c>
    </row>
    <row r="53" customFormat="false" ht="15" hidden="false" customHeight="true" outlineLevel="0" collapsed="false">
      <c r="A53" s="60" t="n">
        <v>45</v>
      </c>
      <c r="B53" s="61"/>
      <c r="C53" s="62" t="s">
        <v>487</v>
      </c>
      <c r="D53" s="62" t="s">
        <v>488</v>
      </c>
      <c r="E53" s="60" t="s">
        <v>369</v>
      </c>
      <c r="F53" s="62" t="s">
        <v>489</v>
      </c>
    </row>
    <row r="54" customFormat="false" ht="23.25" hidden="false" customHeight="true" outlineLevel="0" collapsed="false">
      <c r="A54" s="60" t="n">
        <v>46</v>
      </c>
      <c r="B54" s="61" t="s">
        <v>490</v>
      </c>
      <c r="C54" s="62" t="s">
        <v>378</v>
      </c>
      <c r="D54" s="62" t="s">
        <v>491</v>
      </c>
      <c r="E54" s="60" t="s">
        <v>369</v>
      </c>
      <c r="F54" s="62" t="s">
        <v>492</v>
      </c>
    </row>
    <row r="55" customFormat="false" ht="23.25" hidden="false" customHeight="true" outlineLevel="0" collapsed="false">
      <c r="A55" s="60" t="n">
        <v>47</v>
      </c>
      <c r="B55" s="61"/>
      <c r="C55" s="62" t="s">
        <v>493</v>
      </c>
      <c r="D55" s="62" t="s">
        <v>494</v>
      </c>
      <c r="E55" s="60" t="s">
        <v>369</v>
      </c>
      <c r="F55" s="62" t="s">
        <v>495</v>
      </c>
    </row>
    <row r="56" customFormat="false" ht="23.25" hidden="false" customHeight="true" outlineLevel="0" collapsed="false">
      <c r="A56" s="60" t="n">
        <v>48</v>
      </c>
      <c r="B56" s="61"/>
      <c r="C56" s="62" t="s">
        <v>496</v>
      </c>
      <c r="D56" s="62" t="s">
        <v>497</v>
      </c>
      <c r="E56" s="60" t="s">
        <v>369</v>
      </c>
      <c r="F56" s="62" t="s">
        <v>498</v>
      </c>
    </row>
    <row r="57" customFormat="false" ht="23.85" hidden="false" customHeight="false" outlineLevel="0" collapsed="false">
      <c r="A57" s="67" t="n">
        <v>49</v>
      </c>
      <c r="B57" s="68" t="s">
        <v>499</v>
      </c>
      <c r="C57" s="69" t="s">
        <v>422</v>
      </c>
      <c r="D57" s="69" t="s">
        <v>423</v>
      </c>
      <c r="E57" s="70" t="s">
        <v>424</v>
      </c>
      <c r="F57" s="71" t="s">
        <v>500</v>
      </c>
    </row>
    <row r="58" customFormat="false" ht="25.5" hidden="false" customHeight="true" outlineLevel="0" collapsed="false">
      <c r="A58" s="67" t="n">
        <v>50</v>
      </c>
      <c r="B58" s="67"/>
      <c r="C58" s="67" t="s">
        <v>501</v>
      </c>
      <c r="D58" s="67" t="s">
        <v>502</v>
      </c>
      <c r="E58" s="67" t="s">
        <v>365</v>
      </c>
      <c r="F58" s="67" t="s">
        <v>503</v>
      </c>
    </row>
    <row r="59" customFormat="false" ht="21.75" hidden="false" customHeight="true" outlineLevel="0" collapsed="false">
      <c r="A59" s="67" t="n">
        <v>51</v>
      </c>
      <c r="B59" s="72"/>
      <c r="C59" s="69" t="s">
        <v>504</v>
      </c>
      <c r="D59" s="69" t="s">
        <v>505</v>
      </c>
      <c r="E59" s="73" t="s">
        <v>369</v>
      </c>
      <c r="F59" s="71" t="s">
        <v>506</v>
      </c>
    </row>
    <row r="60" customFormat="false" ht="15" hidden="false" customHeight="true" outlineLevel="0" collapsed="false">
      <c r="A60" s="67" t="n">
        <v>52</v>
      </c>
      <c r="B60" s="74"/>
      <c r="C60" s="69" t="s">
        <v>507</v>
      </c>
      <c r="D60" s="69" t="s">
        <v>508</v>
      </c>
      <c r="E60" s="73" t="s">
        <v>369</v>
      </c>
      <c r="F60" s="71" t="s">
        <v>509</v>
      </c>
    </row>
    <row r="61" customFormat="false" ht="23.25" hidden="false" customHeight="true" outlineLevel="0" collapsed="false">
      <c r="A61" s="67" t="n">
        <v>53</v>
      </c>
      <c r="B61" s="74"/>
      <c r="C61" s="69" t="s">
        <v>510</v>
      </c>
      <c r="D61" s="69" t="s">
        <v>511</v>
      </c>
      <c r="E61" s="75" t="s">
        <v>373</v>
      </c>
      <c r="F61" s="71" t="s">
        <v>512</v>
      </c>
    </row>
    <row r="62" customFormat="false" ht="15" hidden="false" customHeight="true" outlineLevel="0" collapsed="false">
      <c r="B62" s="74"/>
    </row>
    <row r="63" customFormat="false" ht="23.25" hidden="false" customHeight="true" outlineLevel="0" collapsed="false">
      <c r="A63" s="76" t="s">
        <v>513</v>
      </c>
      <c r="B63" s="77"/>
    </row>
    <row r="64" customFormat="false" ht="15" hidden="false" customHeight="true" outlineLevel="0" collapsed="false">
      <c r="A64" s="59" t="s">
        <v>356</v>
      </c>
      <c r="B64" s="77" t="s">
        <v>357</v>
      </c>
      <c r="C64" s="59" t="s">
        <v>358</v>
      </c>
      <c r="D64" s="59" t="s">
        <v>359</v>
      </c>
      <c r="E64" s="59" t="s">
        <v>360</v>
      </c>
      <c r="F64" s="59" t="s">
        <v>361</v>
      </c>
    </row>
    <row r="65" customFormat="false" ht="15" hidden="false" customHeight="true" outlineLevel="0" collapsed="false">
      <c r="A65" s="60" t="n">
        <v>54</v>
      </c>
      <c r="B65" s="78" t="s">
        <v>514</v>
      </c>
      <c r="C65" s="62" t="s">
        <v>363</v>
      </c>
      <c r="D65" s="62" t="s">
        <v>515</v>
      </c>
      <c r="E65" s="63" t="s">
        <v>365</v>
      </c>
      <c r="F65" s="62" t="s">
        <v>516</v>
      </c>
    </row>
    <row r="66" customFormat="false" ht="15" hidden="false" customHeight="true" outlineLevel="0" collapsed="false">
      <c r="A66" s="60" t="n">
        <v>55</v>
      </c>
      <c r="B66" s="78"/>
      <c r="C66" s="62" t="s">
        <v>517</v>
      </c>
      <c r="D66" s="62" t="s">
        <v>518</v>
      </c>
      <c r="E66" s="60" t="s">
        <v>369</v>
      </c>
      <c r="F66" s="62" t="s">
        <v>519</v>
      </c>
    </row>
    <row r="67" customFormat="false" ht="23.25" hidden="false" customHeight="true" outlineLevel="0" collapsed="false">
      <c r="A67" s="60" t="n">
        <v>56</v>
      </c>
      <c r="B67" s="79"/>
      <c r="C67" s="62" t="s">
        <v>371</v>
      </c>
      <c r="D67" s="62" t="s">
        <v>390</v>
      </c>
      <c r="E67" s="64" t="s">
        <v>373</v>
      </c>
      <c r="F67" s="62" t="s">
        <v>391</v>
      </c>
    </row>
    <row r="68" customFormat="false" ht="15" hidden="false" customHeight="true" outlineLevel="0" collapsed="false">
      <c r="A68" s="60" t="n">
        <v>57</v>
      </c>
      <c r="B68" s="79" t="s">
        <v>520</v>
      </c>
      <c r="C68" s="62" t="s">
        <v>521</v>
      </c>
      <c r="D68" s="62" t="s">
        <v>522</v>
      </c>
      <c r="E68" s="60" t="s">
        <v>369</v>
      </c>
      <c r="F68" s="62" t="s">
        <v>523</v>
      </c>
    </row>
    <row r="69" customFormat="false" ht="15" hidden="false" customHeight="true" outlineLevel="0" collapsed="false">
      <c r="A69" s="60" t="n">
        <v>58</v>
      </c>
      <c r="B69" s="79"/>
      <c r="C69" s="62" t="s">
        <v>371</v>
      </c>
      <c r="D69" s="62" t="s">
        <v>524</v>
      </c>
      <c r="E69" s="64" t="s">
        <v>373</v>
      </c>
      <c r="F69" s="62" t="s">
        <v>391</v>
      </c>
    </row>
    <row r="70" customFormat="false" ht="23.25" hidden="false" customHeight="true" outlineLevel="0" collapsed="false">
      <c r="A70" s="60" t="n">
        <v>59</v>
      </c>
      <c r="B70" s="61" t="s">
        <v>525</v>
      </c>
      <c r="C70" s="62" t="s">
        <v>526</v>
      </c>
      <c r="D70" s="62" t="s">
        <v>527</v>
      </c>
      <c r="E70" s="60" t="s">
        <v>369</v>
      </c>
      <c r="F70" s="62" t="s">
        <v>528</v>
      </c>
    </row>
    <row r="71" customFormat="false" ht="15" hidden="false" customHeight="true" outlineLevel="0" collapsed="false">
      <c r="A71" s="60" t="n">
        <v>60</v>
      </c>
      <c r="B71" s="61"/>
      <c r="C71" s="62" t="s">
        <v>371</v>
      </c>
      <c r="D71" s="62" t="s">
        <v>524</v>
      </c>
      <c r="E71" s="64" t="s">
        <v>373</v>
      </c>
      <c r="F71" s="62" t="s">
        <v>391</v>
      </c>
    </row>
    <row r="72" customFormat="false" ht="15" hidden="false" customHeight="true" outlineLevel="0" collapsed="false">
      <c r="A72" s="60" t="n">
        <v>61</v>
      </c>
      <c r="B72" s="61" t="s">
        <v>529</v>
      </c>
      <c r="C72" s="62" t="s">
        <v>530</v>
      </c>
      <c r="D72" s="62" t="s">
        <v>531</v>
      </c>
      <c r="E72" s="66" t="s">
        <v>532</v>
      </c>
      <c r="F72" s="62" t="s">
        <v>533</v>
      </c>
    </row>
    <row r="73" customFormat="false" ht="15" hidden="false" customHeight="false" outlineLevel="0" collapsed="false">
      <c r="A73" s="60" t="n">
        <v>62</v>
      </c>
      <c r="B73" s="80"/>
      <c r="C73" s="62" t="s">
        <v>534</v>
      </c>
      <c r="D73" s="62" t="s">
        <v>535</v>
      </c>
      <c r="E73" s="63" t="s">
        <v>365</v>
      </c>
      <c r="F73" s="62" t="s">
        <v>536</v>
      </c>
    </row>
    <row r="74" customFormat="false" ht="15" hidden="false" customHeight="false" outlineLevel="0" collapsed="false">
      <c r="A74" s="60" t="n">
        <v>63</v>
      </c>
      <c r="B74" s="79"/>
      <c r="C74" s="62" t="s">
        <v>378</v>
      </c>
      <c r="D74" s="62" t="s">
        <v>537</v>
      </c>
      <c r="E74" s="64" t="s">
        <v>373</v>
      </c>
      <c r="F74" s="62" t="s">
        <v>538</v>
      </c>
    </row>
    <row r="75" customFormat="false" ht="15" hidden="false" customHeight="true" outlineLevel="0" collapsed="false">
      <c r="A75" s="60" t="n">
        <v>64</v>
      </c>
      <c r="B75" s="60" t="s">
        <v>539</v>
      </c>
      <c r="C75" s="60" t="s">
        <v>540</v>
      </c>
      <c r="D75" s="60" t="s">
        <v>541</v>
      </c>
      <c r="E75" s="60" t="s">
        <v>369</v>
      </c>
      <c r="F75" s="60" t="s">
        <v>542</v>
      </c>
    </row>
    <row r="76" customFormat="false" ht="15" hidden="false" customHeight="true" outlineLevel="0" collapsed="false">
      <c r="A76" s="60" t="n">
        <v>65</v>
      </c>
      <c r="B76" s="80"/>
      <c r="C76" s="62" t="s">
        <v>543</v>
      </c>
      <c r="D76" s="62" t="s">
        <v>544</v>
      </c>
      <c r="E76" s="62" t="s">
        <v>400</v>
      </c>
      <c r="F76" s="62" t="s">
        <v>545</v>
      </c>
    </row>
    <row r="77" customFormat="false" ht="15" hidden="false" customHeight="true" outlineLevel="0" collapsed="false">
      <c r="A77" s="60" t="n">
        <v>66</v>
      </c>
      <c r="B77" s="79"/>
      <c r="C77" s="62" t="s">
        <v>546</v>
      </c>
      <c r="D77" s="62" t="s">
        <v>547</v>
      </c>
      <c r="E77" s="62" t="s">
        <v>369</v>
      </c>
      <c r="F77" s="62" t="s">
        <v>548</v>
      </c>
    </row>
    <row r="78" customFormat="false" ht="15" hidden="false" customHeight="true" outlineLevel="0" collapsed="false">
      <c r="C78" s="81"/>
      <c r="D78" s="81"/>
      <c r="E78" s="81"/>
      <c r="F78" s="81"/>
    </row>
    <row r="79" customFormat="false" ht="15" hidden="false" customHeight="true" outlineLevel="0" collapsed="false">
      <c r="C79" s="81"/>
      <c r="D79" s="81"/>
      <c r="E79" s="81"/>
      <c r="F79" s="81"/>
    </row>
    <row r="80" customFormat="false" ht="15" hidden="false" customHeight="true" outlineLevel="0" collapsed="false">
      <c r="A80" s="76" t="s">
        <v>549</v>
      </c>
      <c r="C80" s="81"/>
      <c r="D80" s="81"/>
      <c r="E80" s="81"/>
      <c r="F80" s="81"/>
    </row>
    <row r="81" customFormat="false" ht="35.05" hidden="false" customHeight="false" outlineLevel="0" collapsed="false">
      <c r="B81" s="82" t="s">
        <v>365</v>
      </c>
      <c r="C81" s="83" t="s">
        <v>550</v>
      </c>
      <c r="D81" s="84"/>
      <c r="E81" s="84"/>
      <c r="F81" s="84"/>
    </row>
    <row r="82" customFormat="false" ht="23.85" hidden="false" customHeight="false" outlineLevel="0" collapsed="false">
      <c r="B82" s="85" t="s">
        <v>388</v>
      </c>
      <c r="C82" s="83" t="s">
        <v>551</v>
      </c>
      <c r="D82" s="84"/>
      <c r="E82" s="84"/>
      <c r="F82" s="84"/>
    </row>
    <row r="83" customFormat="false" ht="15" hidden="false" customHeight="true" outlineLevel="0" collapsed="false">
      <c r="B83" s="86" t="s">
        <v>552</v>
      </c>
      <c r="C83" s="83" t="s">
        <v>553</v>
      </c>
      <c r="D83" s="84"/>
      <c r="E83" s="84"/>
      <c r="F83" s="84"/>
    </row>
    <row r="84" customFormat="false" ht="15" hidden="false" customHeight="true" outlineLevel="0" collapsed="false">
      <c r="B84" s="87" t="s">
        <v>373</v>
      </c>
      <c r="C84" s="83" t="s">
        <v>554</v>
      </c>
      <c r="D84" s="84"/>
      <c r="E84" s="84"/>
      <c r="F84" s="84"/>
    </row>
    <row r="85" customFormat="false" ht="46.25" hidden="false" customHeight="false" outlineLevel="0" collapsed="false">
      <c r="B85" s="88" t="s">
        <v>369</v>
      </c>
      <c r="C85" s="83" t="s">
        <v>555</v>
      </c>
      <c r="D85" s="84"/>
      <c r="E85" s="84"/>
      <c r="F85" s="84"/>
    </row>
    <row r="86" customFormat="false" ht="15" hidden="false" customHeight="false" outlineLevel="0" collapsed="false"/>
    <row r="87" customFormat="false" ht="15" hidden="false" customHeight="false" outlineLevel="0" collapsed="false"/>
    <row r="88" customFormat="false" ht="15" hidden="false" customHeight="false" outlineLevel="0" collapsed="false">
      <c r="A88" s="89" t="s">
        <v>556</v>
      </c>
    </row>
    <row r="89" customFormat="false" ht="15" hidden="false" customHeight="false" outlineLevel="0" collapsed="false">
      <c r="A89" s="90" t="s">
        <v>557</v>
      </c>
    </row>
  </sheetData>
  <mergeCells count="31">
    <mergeCell ref="A1:F1"/>
    <mergeCell ref="A2:F2"/>
    <mergeCell ref="A4:F4"/>
    <mergeCell ref="B6:B8"/>
    <mergeCell ref="B9:B11"/>
    <mergeCell ref="B12:B14"/>
    <mergeCell ref="B15:B17"/>
    <mergeCell ref="B18:B20"/>
    <mergeCell ref="B21:B24"/>
    <mergeCell ref="B25:B28"/>
    <mergeCell ref="B29:B31"/>
    <mergeCell ref="B32:B34"/>
    <mergeCell ref="B35:B37"/>
    <mergeCell ref="B38:B40"/>
    <mergeCell ref="A42:F42"/>
    <mergeCell ref="B44:B47"/>
    <mergeCell ref="B48:B51"/>
    <mergeCell ref="B52:B53"/>
    <mergeCell ref="B54:B56"/>
    <mergeCell ref="A58:F58"/>
    <mergeCell ref="B60:B62"/>
    <mergeCell ref="B63:B64"/>
    <mergeCell ref="B65:B66"/>
    <mergeCell ref="B67:B69"/>
    <mergeCell ref="B70:B72"/>
    <mergeCell ref="A75:F75"/>
    <mergeCell ref="C76:F76"/>
    <mergeCell ref="C77:F77"/>
    <mergeCell ref="C78:F78"/>
    <mergeCell ref="C79:F79"/>
    <mergeCell ref="C80:F8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42"/>
    <col collapsed="false" customWidth="true" hidden="false" outlineLevel="0" max="4" min="4" style="1" width="24"/>
    <col collapsed="false" customWidth="true" hidden="false" outlineLevel="0" max="5" min="5" style="1" width="28"/>
    <col collapsed="false" customWidth="true" hidden="false" outlineLevel="0" max="6" min="6" style="1" width="46"/>
    <col collapsed="false" customWidth="true" hidden="false" outlineLevel="0" max="7" min="7" style="1" width="16"/>
  </cols>
  <sheetData>
    <row r="1" customFormat="false" ht="17.25" hidden="false" customHeight="true" outlineLevel="0" collapsed="false">
      <c r="A1" s="91" t="s">
        <v>558</v>
      </c>
      <c r="B1" s="91"/>
      <c r="C1" s="91"/>
      <c r="D1" s="91"/>
      <c r="E1" s="91"/>
      <c r="F1" s="91"/>
      <c r="G1" s="91"/>
    </row>
    <row r="2" customFormat="false" ht="15" hidden="false" customHeight="true" outlineLevel="0" collapsed="false">
      <c r="A2" s="57" t="s">
        <v>559</v>
      </c>
      <c r="B2" s="57"/>
      <c r="C2" s="57"/>
      <c r="D2" s="57"/>
      <c r="E2" s="57"/>
      <c r="F2" s="57"/>
      <c r="G2" s="57"/>
    </row>
    <row r="4" customFormat="false" ht="25.5" hidden="false" customHeight="true" outlineLevel="0" collapsed="false">
      <c r="A4" s="58" t="s">
        <v>560</v>
      </c>
      <c r="B4" s="58"/>
      <c r="C4" s="58"/>
      <c r="D4" s="58"/>
      <c r="E4" s="58"/>
      <c r="F4" s="58"/>
      <c r="G4" s="58"/>
    </row>
    <row r="5" customFormat="false" ht="21.75" hidden="false" customHeight="true" outlineLevel="0" collapsed="false">
      <c r="A5" s="59" t="s">
        <v>356</v>
      </c>
      <c r="B5" s="59" t="s">
        <v>561</v>
      </c>
      <c r="C5" s="59" t="s">
        <v>562</v>
      </c>
      <c r="D5" s="59" t="s">
        <v>563</v>
      </c>
      <c r="E5" s="59" t="s">
        <v>564</v>
      </c>
      <c r="F5" s="59" t="s">
        <v>565</v>
      </c>
      <c r="G5" s="59" t="s">
        <v>566</v>
      </c>
    </row>
    <row r="6" customFormat="false" ht="90" hidden="false" customHeight="true" outlineLevel="0" collapsed="false">
      <c r="A6" s="92" t="n">
        <v>1</v>
      </c>
      <c r="B6" s="61" t="s">
        <v>567</v>
      </c>
      <c r="C6" s="62" t="s">
        <v>568</v>
      </c>
      <c r="D6" s="62" t="s">
        <v>569</v>
      </c>
      <c r="E6" s="62" t="s">
        <v>570</v>
      </c>
      <c r="F6" s="62" t="s">
        <v>571</v>
      </c>
      <c r="G6" s="93" t="s">
        <v>572</v>
      </c>
    </row>
    <row r="7" customFormat="false" ht="90" hidden="false" customHeight="true" outlineLevel="0" collapsed="false">
      <c r="A7" s="92" t="n">
        <v>2</v>
      </c>
      <c r="B7" s="61" t="s">
        <v>573</v>
      </c>
      <c r="C7" s="62" t="s">
        <v>574</v>
      </c>
      <c r="D7" s="62" t="s">
        <v>575</v>
      </c>
      <c r="E7" s="62" t="s">
        <v>576</v>
      </c>
      <c r="F7" s="62" t="s">
        <v>577</v>
      </c>
      <c r="G7" s="93" t="s">
        <v>572</v>
      </c>
    </row>
    <row r="8" customFormat="false" ht="90" hidden="false" customHeight="true" outlineLevel="0" collapsed="false">
      <c r="A8" s="92" t="n">
        <v>3</v>
      </c>
      <c r="B8" s="61" t="s">
        <v>578</v>
      </c>
      <c r="C8" s="62" t="s">
        <v>579</v>
      </c>
      <c r="D8" s="62" t="s">
        <v>580</v>
      </c>
      <c r="E8" s="62" t="s">
        <v>581</v>
      </c>
      <c r="F8" s="62" t="s">
        <v>582</v>
      </c>
      <c r="G8" s="93" t="s">
        <v>572</v>
      </c>
    </row>
    <row r="9" customFormat="false" ht="90" hidden="false" customHeight="true" outlineLevel="0" collapsed="false">
      <c r="A9" s="92" t="n">
        <v>4</v>
      </c>
      <c r="B9" s="61" t="s">
        <v>583</v>
      </c>
      <c r="C9" s="62" t="s">
        <v>584</v>
      </c>
      <c r="D9" s="62" t="s">
        <v>585</v>
      </c>
      <c r="E9" s="62" t="s">
        <v>586</v>
      </c>
      <c r="F9" s="62" t="s">
        <v>587</v>
      </c>
      <c r="G9" s="93" t="s">
        <v>572</v>
      </c>
    </row>
    <row r="10" customFormat="false" ht="90" hidden="false" customHeight="true" outlineLevel="0" collapsed="false">
      <c r="A10" s="92" t="n">
        <v>5</v>
      </c>
      <c r="B10" s="61" t="s">
        <v>588</v>
      </c>
      <c r="C10" s="62" t="s">
        <v>589</v>
      </c>
      <c r="D10" s="62" t="s">
        <v>590</v>
      </c>
      <c r="E10" s="62" t="s">
        <v>591</v>
      </c>
      <c r="F10" s="62" t="s">
        <v>592</v>
      </c>
      <c r="G10" s="93" t="s">
        <v>572</v>
      </c>
    </row>
    <row r="11" customFormat="false" ht="90" hidden="false" customHeight="true" outlineLevel="0" collapsed="false">
      <c r="A11" s="92" t="n">
        <v>6</v>
      </c>
      <c r="B11" s="61" t="s">
        <v>593</v>
      </c>
      <c r="C11" s="62" t="s">
        <v>594</v>
      </c>
      <c r="D11" s="62" t="s">
        <v>595</v>
      </c>
      <c r="E11" s="62" t="s">
        <v>596</v>
      </c>
      <c r="F11" s="62" t="s">
        <v>597</v>
      </c>
      <c r="G11" s="93" t="s">
        <v>572</v>
      </c>
    </row>
    <row r="12" customFormat="false" ht="90" hidden="false" customHeight="true" outlineLevel="0" collapsed="false">
      <c r="A12" s="92" t="n">
        <v>7</v>
      </c>
      <c r="B12" s="61" t="s">
        <v>598</v>
      </c>
      <c r="C12" s="62" t="s">
        <v>599</v>
      </c>
      <c r="D12" s="62" t="s">
        <v>595</v>
      </c>
      <c r="E12" s="62" t="s">
        <v>600</v>
      </c>
      <c r="F12" s="62" t="s">
        <v>601</v>
      </c>
      <c r="G12" s="93" t="s">
        <v>572</v>
      </c>
    </row>
    <row r="13" customFormat="false" ht="90" hidden="false" customHeight="true" outlineLevel="0" collapsed="false">
      <c r="A13" s="92" t="n">
        <v>8</v>
      </c>
      <c r="B13" s="61" t="s">
        <v>602</v>
      </c>
      <c r="C13" s="62" t="s">
        <v>603</v>
      </c>
      <c r="D13" s="62" t="s">
        <v>604</v>
      </c>
      <c r="E13" s="62" t="s">
        <v>605</v>
      </c>
      <c r="F13" s="62" t="s">
        <v>606</v>
      </c>
      <c r="G13" s="93" t="s">
        <v>572</v>
      </c>
    </row>
    <row r="14" customFormat="false" ht="90" hidden="false" customHeight="true" outlineLevel="0" collapsed="false">
      <c r="A14" s="92" t="n">
        <v>9</v>
      </c>
      <c r="B14" s="61" t="s">
        <v>607</v>
      </c>
      <c r="C14" s="62" t="s">
        <v>608</v>
      </c>
      <c r="D14" s="62" t="s">
        <v>609</v>
      </c>
      <c r="E14" s="62" t="s">
        <v>610</v>
      </c>
      <c r="F14" s="62" t="s">
        <v>611</v>
      </c>
      <c r="G14" s="93" t="s">
        <v>572</v>
      </c>
    </row>
    <row r="15" customFormat="false" ht="90" hidden="false" customHeight="true" outlineLevel="0" collapsed="false">
      <c r="A15" s="92" t="n">
        <v>10</v>
      </c>
      <c r="B15" s="61" t="s">
        <v>612</v>
      </c>
      <c r="C15" s="62" t="s">
        <v>613</v>
      </c>
      <c r="D15" s="62" t="s">
        <v>614</v>
      </c>
      <c r="E15" s="62" t="s">
        <v>615</v>
      </c>
      <c r="F15" s="62" t="s">
        <v>616</v>
      </c>
      <c r="G15" s="94" t="s">
        <v>617</v>
      </c>
    </row>
    <row r="18" customFormat="false" ht="25.5" hidden="false" customHeight="true" outlineLevel="0" collapsed="false">
      <c r="A18" s="58" t="s">
        <v>618</v>
      </c>
      <c r="B18" s="58"/>
      <c r="C18" s="58"/>
      <c r="D18" s="58"/>
      <c r="E18" s="58"/>
      <c r="F18" s="58"/>
      <c r="G18" s="58"/>
    </row>
    <row r="19" customFormat="false" ht="15" hidden="false" customHeight="true" outlineLevel="0" collapsed="false">
      <c r="A19" s="59"/>
      <c r="B19" s="59" t="s">
        <v>619</v>
      </c>
      <c r="C19" s="59"/>
      <c r="D19" s="59" t="s">
        <v>620</v>
      </c>
      <c r="E19" s="59"/>
      <c r="F19" s="59"/>
      <c r="G19" s="59"/>
    </row>
    <row r="20" customFormat="false" ht="24" hidden="false" customHeight="true" outlineLevel="0" collapsed="false">
      <c r="A20" s="95" t="s">
        <v>621</v>
      </c>
      <c r="B20" s="61" t="s">
        <v>622</v>
      </c>
      <c r="C20" s="61"/>
      <c r="D20" s="83" t="s">
        <v>567</v>
      </c>
      <c r="E20" s="83"/>
      <c r="F20" s="83"/>
      <c r="G20" s="83"/>
    </row>
    <row r="21" customFormat="false" ht="24" hidden="false" customHeight="true" outlineLevel="0" collapsed="false">
      <c r="A21" s="95" t="s">
        <v>623</v>
      </c>
      <c r="B21" s="61" t="s">
        <v>624</v>
      </c>
      <c r="C21" s="61"/>
      <c r="D21" s="83" t="s">
        <v>578</v>
      </c>
      <c r="E21" s="83"/>
      <c r="F21" s="83"/>
      <c r="G21" s="83"/>
    </row>
    <row r="22" customFormat="false" ht="24" hidden="false" customHeight="true" outlineLevel="0" collapsed="false">
      <c r="A22" s="95" t="s">
        <v>623</v>
      </c>
      <c r="B22" s="61" t="s">
        <v>625</v>
      </c>
      <c r="C22" s="61"/>
      <c r="D22" s="83" t="s">
        <v>626</v>
      </c>
      <c r="E22" s="83"/>
      <c r="F22" s="83"/>
      <c r="G22" s="83"/>
    </row>
    <row r="23" customFormat="false" ht="24" hidden="false" customHeight="true" outlineLevel="0" collapsed="false">
      <c r="A23" s="95" t="s">
        <v>623</v>
      </c>
      <c r="B23" s="61" t="s">
        <v>627</v>
      </c>
      <c r="C23" s="61"/>
      <c r="D23" s="83" t="s">
        <v>628</v>
      </c>
      <c r="E23" s="83"/>
      <c r="F23" s="83"/>
      <c r="G23" s="83"/>
    </row>
    <row r="24" customFormat="false" ht="24" hidden="false" customHeight="true" outlineLevel="0" collapsed="false">
      <c r="A24" s="95" t="s">
        <v>623</v>
      </c>
      <c r="B24" s="61" t="s">
        <v>629</v>
      </c>
      <c r="C24" s="61"/>
      <c r="D24" s="83" t="s">
        <v>626</v>
      </c>
      <c r="E24" s="83"/>
      <c r="F24" s="83"/>
      <c r="G24" s="83"/>
    </row>
    <row r="25" customFormat="false" ht="24" hidden="false" customHeight="true" outlineLevel="0" collapsed="false">
      <c r="A25" s="95" t="s">
        <v>623</v>
      </c>
      <c r="B25" s="61" t="s">
        <v>630</v>
      </c>
      <c r="C25" s="61"/>
      <c r="D25" s="83" t="s">
        <v>631</v>
      </c>
      <c r="E25" s="83"/>
      <c r="F25" s="83"/>
      <c r="G25" s="83"/>
    </row>
    <row r="26" customFormat="false" ht="24" hidden="false" customHeight="true" outlineLevel="0" collapsed="false">
      <c r="A26" s="95" t="s">
        <v>623</v>
      </c>
      <c r="B26" s="61" t="s">
        <v>632</v>
      </c>
      <c r="C26" s="61"/>
      <c r="D26" s="83" t="s">
        <v>626</v>
      </c>
      <c r="E26" s="83"/>
      <c r="F26" s="83"/>
      <c r="G26" s="83"/>
    </row>
    <row r="27" customFormat="false" ht="24" hidden="false" customHeight="true" outlineLevel="0" collapsed="false">
      <c r="A27" s="95" t="s">
        <v>623</v>
      </c>
      <c r="B27" s="61" t="s">
        <v>633</v>
      </c>
      <c r="C27" s="61"/>
      <c r="D27" s="83" t="s">
        <v>607</v>
      </c>
      <c r="E27" s="83"/>
      <c r="F27" s="83"/>
      <c r="G27" s="83"/>
    </row>
    <row r="28" customFormat="false" ht="24" hidden="false" customHeight="true" outlineLevel="0" collapsed="false">
      <c r="A28" s="95" t="s">
        <v>623</v>
      </c>
      <c r="B28" s="61" t="s">
        <v>634</v>
      </c>
      <c r="C28" s="61"/>
      <c r="D28" s="83" t="s">
        <v>635</v>
      </c>
      <c r="E28" s="83"/>
      <c r="F28" s="83"/>
      <c r="G28" s="83"/>
    </row>
    <row r="29" customFormat="false" ht="24" hidden="false" customHeight="true" outlineLevel="0" collapsed="false">
      <c r="A29" s="95" t="s">
        <v>623</v>
      </c>
      <c r="B29" s="61" t="s">
        <v>636</v>
      </c>
      <c r="C29" s="61"/>
      <c r="D29" s="83" t="s">
        <v>637</v>
      </c>
      <c r="E29" s="83"/>
      <c r="F29" s="83"/>
      <c r="G29" s="83"/>
    </row>
    <row r="32" customFormat="false" ht="15" hidden="false" customHeight="true" outlineLevel="0" collapsed="false">
      <c r="A32" s="96" t="s">
        <v>638</v>
      </c>
      <c r="B32" s="96"/>
      <c r="C32" s="96"/>
      <c r="D32" s="96"/>
      <c r="E32" s="96"/>
      <c r="F32" s="96"/>
      <c r="G32" s="96"/>
    </row>
    <row r="33" customFormat="false" ht="26.25" hidden="false" customHeight="true" outlineLevel="0" collapsed="false">
      <c r="A33" s="97" t="s">
        <v>639</v>
      </c>
      <c r="B33" s="97"/>
      <c r="C33" s="97"/>
      <c r="D33" s="97"/>
      <c r="E33" s="97"/>
      <c r="F33" s="97"/>
      <c r="G33" s="97"/>
    </row>
    <row r="35" customFormat="false" ht="15" hidden="false" customHeight="true" outlineLevel="0" collapsed="false">
      <c r="A35" s="98" t="s">
        <v>640</v>
      </c>
      <c r="B35" s="98"/>
      <c r="C35" s="98"/>
      <c r="D35" s="98"/>
      <c r="E35" s="98"/>
      <c r="F35" s="98"/>
      <c r="G35" s="98"/>
    </row>
  </sheetData>
  <mergeCells count="29">
    <mergeCell ref="A1:G1"/>
    <mergeCell ref="A2:G2"/>
    <mergeCell ref="A4:G4"/>
    <mergeCell ref="A18:G18"/>
    <mergeCell ref="B19:C19"/>
    <mergeCell ref="D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 ref="A32:G32"/>
    <mergeCell ref="A33:G33"/>
    <mergeCell ref="A35:G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28"/>
    <col collapsed="false" customWidth="true" hidden="false" outlineLevel="0" max="2" min="2" style="1" width="70"/>
  </cols>
  <sheetData>
    <row r="1" customFormat="false" ht="36" hidden="false" customHeight="true" outlineLevel="0" collapsed="false">
      <c r="A1" s="99" t="s">
        <v>641</v>
      </c>
      <c r="B1" s="99"/>
    </row>
    <row r="2" customFormat="false" ht="18" hidden="false" customHeight="true" outlineLevel="0" collapsed="false">
      <c r="A2" s="3" t="s">
        <v>642</v>
      </c>
      <c r="B2" s="3"/>
    </row>
    <row r="4" customFormat="false" ht="19.5" hidden="false" customHeight="true" outlineLevel="0" collapsed="false">
      <c r="A4" s="7" t="s">
        <v>643</v>
      </c>
      <c r="B4" s="7"/>
    </row>
    <row r="5" customFormat="false" ht="39.75" hidden="false" customHeight="true" outlineLevel="0" collapsed="false">
      <c r="A5" s="100" t="s">
        <v>644</v>
      </c>
      <c r="B5" s="100"/>
    </row>
    <row r="6" customFormat="false" ht="6" hidden="false" customHeight="true" outlineLevel="0" collapsed="false"/>
    <row r="7" customFormat="false" ht="19.5" hidden="false" customHeight="true" outlineLevel="0" collapsed="false">
      <c r="A7" s="7" t="s">
        <v>645</v>
      </c>
      <c r="B7" s="7"/>
    </row>
    <row r="8" customFormat="false" ht="39.75" hidden="false" customHeight="true" outlineLevel="0" collapsed="false">
      <c r="A8" s="100" t="s">
        <v>646</v>
      </c>
      <c r="B8" s="100"/>
    </row>
    <row r="9" customFormat="false" ht="6" hidden="false" customHeight="true" outlineLevel="0" collapsed="false"/>
    <row r="10" customFormat="false" ht="19.5" hidden="false" customHeight="true" outlineLevel="0" collapsed="false">
      <c r="A10" s="7" t="s">
        <v>647</v>
      </c>
      <c r="B10" s="7"/>
    </row>
    <row r="11" customFormat="false" ht="91.5" hidden="false" customHeight="true" outlineLevel="0" collapsed="false">
      <c r="A11" s="100" t="s">
        <v>648</v>
      </c>
      <c r="B11" s="100"/>
    </row>
    <row r="12" customFormat="false" ht="6" hidden="false" customHeight="true" outlineLevel="0" collapsed="false"/>
    <row r="13" customFormat="false" ht="19.5" hidden="false" customHeight="true" outlineLevel="0" collapsed="false">
      <c r="A13" s="7" t="s">
        <v>649</v>
      </c>
      <c r="B13" s="7"/>
    </row>
    <row r="14" customFormat="false" ht="109.5" hidden="false" customHeight="true" outlineLevel="0" collapsed="false">
      <c r="A14" s="100" t="s">
        <v>650</v>
      </c>
      <c r="B14" s="100"/>
    </row>
    <row r="15" customFormat="false" ht="6" hidden="false" customHeight="true" outlineLevel="0" collapsed="false"/>
    <row r="16" customFormat="false" ht="19.5" hidden="false" customHeight="true" outlineLevel="0" collapsed="false">
      <c r="A16" s="7" t="s">
        <v>651</v>
      </c>
      <c r="B16" s="7"/>
    </row>
    <row r="17" customFormat="false" ht="55.5" hidden="false" customHeight="true" outlineLevel="0" collapsed="false">
      <c r="A17" s="100" t="s">
        <v>652</v>
      </c>
      <c r="B17" s="100"/>
    </row>
    <row r="18" customFormat="false" ht="6" hidden="false" customHeight="true" outlineLevel="0" collapsed="false"/>
    <row r="19" customFormat="false" ht="19.5" hidden="false" customHeight="true" outlineLevel="0" collapsed="false">
      <c r="A19" s="7" t="s">
        <v>653</v>
      </c>
      <c r="B19" s="7"/>
    </row>
    <row r="20" customFormat="false" ht="55.5" hidden="false" customHeight="true" outlineLevel="0" collapsed="false">
      <c r="A20" s="100" t="s">
        <v>654</v>
      </c>
      <c r="B20" s="100"/>
    </row>
    <row r="21" customFormat="false" ht="6" hidden="false" customHeight="true" outlineLevel="0" collapsed="false"/>
    <row r="22" customFormat="false" ht="19.5" hidden="false" customHeight="true" outlineLevel="0" collapsed="false">
      <c r="A22" s="7" t="s">
        <v>655</v>
      </c>
      <c r="B22" s="7"/>
    </row>
    <row r="23" customFormat="false" ht="91.5" hidden="false" customHeight="true" outlineLevel="0" collapsed="false">
      <c r="A23" s="100" t="s">
        <v>656</v>
      </c>
      <c r="B23" s="100"/>
    </row>
    <row r="24" customFormat="false" ht="6" hidden="false" customHeight="true" outlineLevel="0" collapsed="false"/>
    <row r="25" customFormat="false" ht="19.5" hidden="false" customHeight="true" outlineLevel="0" collapsed="false">
      <c r="A25" s="7" t="s">
        <v>657</v>
      </c>
      <c r="B25" s="7"/>
    </row>
    <row r="26" customFormat="false" ht="55.5" hidden="false" customHeight="true" outlineLevel="0" collapsed="false">
      <c r="A26" s="100" t="s">
        <v>658</v>
      </c>
      <c r="B26" s="100"/>
    </row>
    <row r="27" customFormat="false" ht="6" hidden="false" customHeight="true" outlineLevel="0" collapsed="false"/>
    <row r="28" customFormat="false" ht="19.5" hidden="false" customHeight="true" outlineLevel="0" collapsed="false">
      <c r="A28" s="7" t="s">
        <v>659</v>
      </c>
      <c r="B28" s="7"/>
    </row>
    <row r="29" customFormat="false" ht="109.5" hidden="false" customHeight="true" outlineLevel="0" collapsed="false">
      <c r="A29" s="100" t="s">
        <v>660</v>
      </c>
      <c r="B29" s="100"/>
    </row>
    <row r="30" customFormat="false" ht="6" hidden="false" customHeight="true" outlineLevel="0" collapsed="false"/>
    <row r="31" customFormat="false" ht="19.5" hidden="false" customHeight="true" outlineLevel="0" collapsed="false">
      <c r="A31" s="7" t="s">
        <v>661</v>
      </c>
      <c r="B31" s="7"/>
    </row>
    <row r="32" customFormat="false" ht="91.5" hidden="false" customHeight="true" outlineLevel="0" collapsed="false">
      <c r="A32" s="100" t="s">
        <v>662</v>
      </c>
      <c r="B32" s="100"/>
    </row>
    <row r="33" customFormat="false" ht="6" hidden="false" customHeight="true" outlineLevel="0" collapsed="false"/>
    <row r="34" customFormat="false" ht="19.5" hidden="false" customHeight="true" outlineLevel="0" collapsed="false">
      <c r="A34" s="7" t="s">
        <v>663</v>
      </c>
      <c r="B34" s="7"/>
    </row>
    <row r="35" customFormat="false" ht="55.5" hidden="false" customHeight="true" outlineLevel="0" collapsed="false">
      <c r="A35" s="100" t="s">
        <v>664</v>
      </c>
      <c r="B35" s="100"/>
    </row>
    <row r="36" customFormat="false" ht="6" hidden="false" customHeight="true" outlineLevel="0" collapsed="false"/>
  </sheetData>
  <mergeCells count="24">
    <mergeCell ref="A1:B1"/>
    <mergeCell ref="A2:B2"/>
    <mergeCell ref="A4:B4"/>
    <mergeCell ref="A5:B5"/>
    <mergeCell ref="A7:B7"/>
    <mergeCell ref="A8:B8"/>
    <mergeCell ref="A10:B10"/>
    <mergeCell ref="A11:B11"/>
    <mergeCell ref="A13:B13"/>
    <mergeCell ref="A14:B14"/>
    <mergeCell ref="A16:B16"/>
    <mergeCell ref="A17:B17"/>
    <mergeCell ref="A19:B19"/>
    <mergeCell ref="A20:B20"/>
    <mergeCell ref="A22:B22"/>
    <mergeCell ref="A23:B23"/>
    <mergeCell ref="A25:B25"/>
    <mergeCell ref="A26:B26"/>
    <mergeCell ref="A28:B28"/>
    <mergeCell ref="A29:B29"/>
    <mergeCell ref="A31:B31"/>
    <mergeCell ref="A32:B32"/>
    <mergeCell ref="A34:B34"/>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2026-03-12T07:32:30Z</dcterms:created>
  <dc:creator>openpyxl</dc:creator>
  <dc:description/>
  <dc:language>en-US</dc:language>
  <cp:lastModifiedBy>Aisha Sudally</cp:lastModifiedBy>
  <dcterms:modified xsi:type="dcterms:W3CDTF">2026-03-12T17:13:20Z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