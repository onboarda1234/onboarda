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7660" windowHeight="14600" tabRatio="500" firstSheet="0" activeTab="3" autoFilterDateGrouping="1"/>
  </bookViews>
  <sheets>
    <sheet name="Risk Scoring Calculator" sheetId="1" state="visible" r:id="rId1"/>
    <sheet name="Score Reference" sheetId="2" state="visible" r:id="rId2"/>
    <sheet name="Country Risk Reference" sheetId="3" state="visible" r:id="rId3"/>
    <sheet name="Methodology" sheetId="4" state="visible" r:id="rId4"/>
  </sheets>
  <definedNames/>
  <calcPr calcId="191029" fullCalcOnLoad="1"/>
</workbook>
</file>

<file path=xl/styles.xml><?xml version="1.0" encoding="utf-8"?>
<styleSheet xmlns="http://schemas.openxmlformats.org/spreadsheetml/2006/main">
  <numFmts count="0"/>
  <fonts count="29">
    <font>
      <name val="Calibri"/>
      <charset val="1"/>
      <family val="2"/>
      <color theme="1"/>
      <sz val="11"/>
    </font>
    <font>
      <name val="Arial"/>
      <family val="2"/>
      <b val="1"/>
      <color rgb="FFFFFFFF"/>
      <sz val="15"/>
    </font>
    <font>
      <name val="Arial"/>
      <family val="2"/>
      <color rgb="FFFFFFFF"/>
      <sz val="10"/>
    </font>
    <font>
      <name val="Arial"/>
      <family val="2"/>
      <b val="1"/>
      <color rgb="FF1A1D2E"/>
      <sz val="10"/>
    </font>
    <font>
      <name val="Arial"/>
      <family val="2"/>
      <color rgb="FF0000FF"/>
      <sz val="10"/>
    </font>
    <font>
      <name val="Arial"/>
      <family val="2"/>
      <b val="1"/>
      <color rgb="FFFFFFFF"/>
      <sz val="9"/>
    </font>
    <font>
      <name val="Arial"/>
      <family val="2"/>
      <b val="1"/>
      <color rgb="FFFFFFFF"/>
      <sz val="10"/>
    </font>
    <font>
      <name val="Arial"/>
      <family val="2"/>
      <color rgb="FF1A1D2E"/>
      <sz val="10"/>
    </font>
    <font>
      <name val="Arial"/>
      <family val="2"/>
      <color rgb="FFFFFFFF"/>
      <sz val="9"/>
    </font>
    <font>
      <name val="Arial"/>
      <family val="2"/>
      <b val="1"/>
      <color rgb="FFFFFFFF"/>
      <sz val="11"/>
    </font>
    <font>
      <name val="Arial"/>
      <family val="2"/>
      <color rgb="FF1A1D2E"/>
      <sz val="9"/>
    </font>
    <font>
      <name val="Arial"/>
      <family val="2"/>
      <b val="1"/>
      <color rgb="FF1A1D2E"/>
      <sz val="14"/>
    </font>
    <font>
      <name val="Arial"/>
      <family val="2"/>
      <b val="1"/>
      <color rgb="FF1A1D2E"/>
      <sz val="12"/>
    </font>
    <font>
      <name val="Arial"/>
      <family val="2"/>
      <color rgb="FF888888"/>
      <sz val="8"/>
    </font>
    <font>
      <name val="Arial"/>
      <family val="2"/>
      <b val="1"/>
      <color rgb="FFFFFFFF"/>
      <sz val="12"/>
    </font>
    <font>
      <name val="Arial"/>
      <family val="2"/>
      <b val="1"/>
      <color rgb="FF1E8449"/>
      <sz val="9"/>
    </font>
    <font>
      <name val="Arial"/>
      <family val="2"/>
      <color rgb="FF1E8449"/>
      <sz val="9"/>
    </font>
    <font>
      <name val="Arial"/>
      <family val="2"/>
      <b val="1"/>
      <color rgb="FF9A7D0A"/>
      <sz val="9"/>
    </font>
    <font>
      <name val="Arial"/>
      <family val="2"/>
      <color rgb="FF9A7D0A"/>
      <sz val="9"/>
    </font>
    <font>
      <name val="Arial"/>
      <family val="2"/>
      <b val="1"/>
      <color rgb="FFC0392B"/>
      <sz val="9"/>
    </font>
    <font>
      <name val="Arial"/>
      <family val="2"/>
      <color rgb="FFC0392B"/>
      <sz val="9"/>
    </font>
    <font>
      <name val="Arial"/>
      <family val="2"/>
      <b val="1"/>
      <color rgb="FF922B21"/>
      <sz val="9"/>
    </font>
    <font>
      <name val="Arial"/>
      <family val="2"/>
      <color rgb="FF922B21"/>
      <sz val="9"/>
    </font>
    <font>
      <name val="Arial"/>
      <family val="2"/>
      <b val="1"/>
      <color rgb="FF1A1D2E"/>
      <sz val="9"/>
    </font>
    <font>
      <name val="Arial"/>
      <b val="1"/>
      <sz val="11"/>
    </font>
    <font>
      <name val="Arial"/>
      <sz val="10"/>
    </font>
    <font>
      <name val="Arial"/>
      <b val="1"/>
      <sz val="10"/>
    </font>
    <font>
      <name val="Arial"/>
      <i val="1"/>
      <sz val="10"/>
    </font>
    <font>
      <name val="Arial"/>
      <i val="1"/>
      <color rgb="00CC0000"/>
      <sz val="9"/>
    </font>
  </fonts>
  <fills count="12">
    <fill>
      <patternFill/>
    </fill>
    <fill>
      <patternFill patternType="gray125"/>
    </fill>
    <fill>
      <patternFill patternType="solid">
        <fgColor rgb="FF2B2F8F"/>
        <bgColor rgb="FF003366"/>
      </patternFill>
    </fill>
    <fill>
      <patternFill patternType="solid">
        <fgColor rgb="FF1A75CB"/>
        <bgColor rgb="FF3366FF"/>
      </patternFill>
    </fill>
    <fill>
      <patternFill patternType="solid">
        <fgColor rgb="FFF4F6FA"/>
        <bgColor rgb="FFEEF2FA"/>
      </patternFill>
    </fill>
    <fill>
      <patternFill patternType="solid">
        <fgColor rgb="FFFFFFFF"/>
        <bgColor rgb="FFF4F6FA"/>
      </patternFill>
    </fill>
    <fill>
      <patternFill patternType="solid">
        <fgColor rgb="FFEEF2FA"/>
        <bgColor rgb="FFF4F6FA"/>
      </patternFill>
    </fill>
    <fill>
      <patternFill patternType="solid">
        <fgColor rgb="FFB8955A"/>
        <bgColor rgb="FF888888"/>
      </patternFill>
    </fill>
    <fill>
      <patternFill patternType="solid">
        <fgColor rgb="FFD5F5E3"/>
        <bgColor rgb="FFEEF2FA"/>
      </patternFill>
    </fill>
    <fill>
      <patternFill patternType="solid">
        <fgColor rgb="FFFDEBD0"/>
        <bgColor rgb="FFFADBD8"/>
      </patternFill>
    </fill>
    <fill>
      <patternFill patternType="solid">
        <fgColor rgb="FFFADBD8"/>
        <bgColor rgb="FFFDEBD0"/>
      </patternFill>
    </fill>
    <fill>
      <patternFill patternType="solid">
        <fgColor rgb="FFF5B7B1"/>
        <bgColor rgb="FFFF99CC"/>
      </patternFill>
    </fill>
  </fills>
  <borders count="1">
    <border>
      <left/>
      <right/>
      <top/>
      <bottom/>
      <diagonal/>
    </border>
  </borders>
  <cellStyleXfs count="1">
    <xf numFmtId="0" fontId="0" fillId="0" borderId="0"/>
  </cellStyleXfs>
  <cellXfs count="47">
    <xf numFmtId="0" fontId="0" fillId="0" borderId="0" pivotButton="0" quotePrefix="0" xfId="0"/>
    <xf numFmtId="0" fontId="10" fillId="5" borderId="0" applyAlignment="1" pivotButton="0" quotePrefix="0" xfId="0">
      <alignment horizontal="left" vertical="center"/>
    </xf>
    <xf numFmtId="0" fontId="3" fillId="4" borderId="0" applyAlignment="1" pivotButton="0" quotePrefix="0" xfId="0">
      <alignment horizontal="left" vertical="center"/>
    </xf>
    <xf numFmtId="0" fontId="4" fillId="5" borderId="0" applyAlignment="1" pivotButton="0" quotePrefix="0" xfId="0">
      <alignment horizontal="left" vertical="center"/>
    </xf>
    <xf numFmtId="0" fontId="5" fillId="2" borderId="0" applyAlignment="1" pivotButton="0" quotePrefix="0" xfId="0">
      <alignment horizontal="center" vertical="center"/>
    </xf>
    <xf numFmtId="0" fontId="7" fillId="5" borderId="0" applyAlignment="1" pivotButton="0" quotePrefix="0" xfId="0">
      <alignment horizontal="left" vertical="center"/>
    </xf>
    <xf numFmtId="0" fontId="3" fillId="5" borderId="0" applyAlignment="1" pivotButton="0" quotePrefix="0" xfId="0">
      <alignment horizontal="center" vertical="center"/>
    </xf>
    <xf numFmtId="0" fontId="7" fillId="5" borderId="0" applyAlignment="1" pivotButton="0" quotePrefix="0" xfId="0">
      <alignment horizontal="center" vertical="center"/>
    </xf>
    <xf numFmtId="0" fontId="7" fillId="6" borderId="0" applyAlignment="1" pivotButton="0" quotePrefix="0" xfId="0">
      <alignment horizontal="left" vertical="center"/>
    </xf>
    <xf numFmtId="0" fontId="3" fillId="6" borderId="0" applyAlignment="1" pivotButton="0" quotePrefix="0" xfId="0">
      <alignment horizontal="center" vertical="center"/>
    </xf>
    <xf numFmtId="0" fontId="7" fillId="6" borderId="0" applyAlignment="1" pivotButton="0" quotePrefix="0" xfId="0">
      <alignment horizontal="center" vertical="center"/>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11" fillId="4" borderId="0" applyAlignment="1" pivotButton="0" quotePrefix="0" xfId="0">
      <alignment horizontal="center" vertical="center"/>
    </xf>
    <xf numFmtId="0" fontId="12" fillId="4" borderId="0" applyAlignment="1" pivotButton="0" quotePrefix="0" xfId="0">
      <alignment horizontal="center" vertical="center"/>
    </xf>
    <xf numFmtId="0" fontId="15" fillId="8" borderId="0" applyAlignment="1" pivotButton="0" quotePrefix="0" xfId="0">
      <alignment horizontal="center" vertical="center"/>
    </xf>
    <xf numFmtId="0" fontId="16" fillId="8" borderId="0" applyAlignment="1" pivotButton="0" quotePrefix="0" xfId="0">
      <alignment horizontal="center" vertical="center"/>
    </xf>
    <xf numFmtId="0" fontId="10" fillId="6" borderId="0" applyAlignment="1" pivotButton="0" quotePrefix="0" xfId="0">
      <alignment horizontal="left" vertical="center"/>
    </xf>
    <xf numFmtId="0" fontId="17" fillId="9" borderId="0" applyAlignment="1" pivotButton="0" quotePrefix="0" xfId="0">
      <alignment horizontal="center" vertical="center"/>
    </xf>
    <xf numFmtId="0" fontId="18" fillId="9" borderId="0" applyAlignment="1" pivotButton="0" quotePrefix="0" xfId="0">
      <alignment horizontal="center" vertical="center"/>
    </xf>
    <xf numFmtId="0" fontId="19" fillId="10" borderId="0" applyAlignment="1" pivotButton="0" quotePrefix="0" xfId="0">
      <alignment horizontal="center" vertical="center"/>
    </xf>
    <xf numFmtId="0" fontId="20" fillId="10" borderId="0" applyAlignment="1" pivotButton="0" quotePrefix="0" xfId="0">
      <alignment horizontal="center" vertical="center"/>
    </xf>
    <xf numFmtId="0" fontId="21" fillId="11" borderId="0" applyAlignment="1" pivotButton="0" quotePrefix="0" xfId="0">
      <alignment horizontal="center" vertical="center"/>
    </xf>
    <xf numFmtId="0" fontId="22" fillId="11" borderId="0" applyAlignment="1" pivotButton="0" quotePrefix="0" xfId="0">
      <alignment horizontal="center" vertical="center"/>
    </xf>
    <xf numFmtId="0" fontId="23" fillId="5" borderId="0" applyAlignment="1" pivotButton="0" quotePrefix="0" xfId="0">
      <alignment horizontal="left" vertical="center"/>
    </xf>
    <xf numFmtId="0" fontId="5" fillId="3" borderId="0" applyAlignment="1" pivotButton="0" quotePrefix="0" xfId="0">
      <alignment horizontal="center" vertical="center"/>
    </xf>
    <xf numFmtId="0" fontId="10" fillId="5" borderId="0" applyAlignment="1" pivotButton="0" quotePrefix="0" xfId="0">
      <alignment horizontal="center" vertical="center"/>
    </xf>
    <xf numFmtId="0" fontId="10" fillId="6" borderId="0" applyAlignment="1" pivotButton="0" quotePrefix="0" xfId="0">
      <alignment horizontal="center" vertical="center"/>
    </xf>
    <xf numFmtId="0" fontId="14" fillId="2" borderId="0" applyAlignment="1" pivotButton="0" quotePrefix="0" xfId="0">
      <alignment horizontal="center" vertical="center"/>
    </xf>
    <xf numFmtId="0" fontId="6" fillId="3" borderId="0" applyAlignment="1" pivotButton="0" quotePrefix="0" xfId="0">
      <alignment horizontal="left" vertical="center"/>
    </xf>
    <xf numFmtId="0" fontId="10" fillId="5" borderId="0" applyAlignment="1" pivotButton="0" quotePrefix="0" xfId="0">
      <alignment horizontal="left" vertical="center" wrapText="1"/>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0" fillId="5" borderId="0" pivotButton="0" quotePrefix="0" xfId="0"/>
    <xf numFmtId="0" fontId="4" fillId="5" borderId="0" applyAlignment="1" pivotButton="0" quotePrefix="0" xfId="0">
      <alignment horizontal="left" vertical="center"/>
    </xf>
    <xf numFmtId="0" fontId="8" fillId="7" borderId="0" applyAlignment="1" pivotButton="0" quotePrefix="0" xfId="0">
      <alignment horizontal="center" vertical="center"/>
    </xf>
    <xf numFmtId="0" fontId="3" fillId="4" borderId="0" applyAlignment="1" pivotButton="0" quotePrefix="0" xfId="0">
      <alignment horizontal="left" vertical="center"/>
    </xf>
    <xf numFmtId="0" fontId="13" fillId="5" borderId="0" applyAlignment="1" pivotButton="0" quotePrefix="0" xfId="0">
      <alignment horizontal="left" vertical="center"/>
    </xf>
    <xf numFmtId="0" fontId="9" fillId="2" borderId="0" applyAlignment="1" pivotButton="0" quotePrefix="0" xfId="0">
      <alignment horizontal="left" vertical="center"/>
    </xf>
    <xf numFmtId="0" fontId="10" fillId="4" borderId="0" applyAlignment="1" pivotButton="0" quotePrefix="0" xfId="0">
      <alignment horizontal="center" vertical="center"/>
    </xf>
    <xf numFmtId="0" fontId="7" fillId="5" borderId="0" applyAlignment="1" pivotButton="0" quotePrefix="0" xfId="0">
      <alignment horizontal="left" vertical="center"/>
    </xf>
    <xf numFmtId="0" fontId="28" fillId="0" borderId="0" pivotButton="0" quotePrefix="0" xfId="0"/>
    <xf numFmtId="0" fontId="24" fillId="0" borderId="0" pivotButton="0" quotePrefix="0" xfId="0"/>
    <xf numFmtId="0" fontId="25" fillId="0" borderId="0" applyAlignment="1" pivotButton="0" quotePrefix="0" xfId="0">
      <alignment vertical="top" wrapText="1"/>
    </xf>
    <xf numFmtId="0" fontId="26" fillId="0" borderId="0" pivotButton="0" quotePrefix="0" xfId="0"/>
    <xf numFmtId="0" fontId="27" fillId="0" borderId="0" applyAlignment="1" pivotButton="0" quotePrefix="0" xfId="0">
      <alignment vertical="top" wrapText="1"/>
    </xf>
    <xf numFmtId="0" fontId="25" fillId="5"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7D0A"/>
      <rgbColor rgb="FF800080"/>
      <rgbColor rgb="FF008080"/>
      <rgbColor rgb="FFC0C0C0"/>
      <rgbColor rgb="FF888888"/>
      <rgbColor rgb="FF9999FF"/>
      <rgbColor rgb="FFC0392B"/>
      <rgbColor rgb="FFFDEBD0"/>
      <rgbColor rgb="FFEEF2FA"/>
      <rgbColor rgb="FF660066"/>
      <rgbColor rgb="FFFF8080"/>
      <rgbColor rgb="FF1A75CB"/>
      <rgbColor rgb="FFFADBD8"/>
      <rgbColor rgb="FF000080"/>
      <rgbColor rgb="FFFF00FF"/>
      <rgbColor rgb="FFFFFF00"/>
      <rgbColor rgb="FF00FFFF"/>
      <rgbColor rgb="FF800080"/>
      <rgbColor rgb="FF800000"/>
      <rgbColor rgb="FF008080"/>
      <rgbColor rgb="FF0000FF"/>
      <rgbColor rgb="FF00CCFF"/>
      <rgbColor rgb="FFF4F6FA"/>
      <rgbColor rgb="FFD5F5E3"/>
      <rgbColor rgb="FFFFFF99"/>
      <rgbColor rgb="FF99CCFF"/>
      <rgbColor rgb="FFFF99CC"/>
      <rgbColor rgb="FFCC99FF"/>
      <rgbColor rgb="FFF5B7B1"/>
      <rgbColor rgb="FF3366FF"/>
      <rgbColor rgb="FF33CCCC"/>
      <rgbColor rgb="FF99CC00"/>
      <rgbColor rgb="FFFFCC00"/>
      <rgbColor rgb="FFFF9900"/>
      <rgbColor rgb="FFFF6600"/>
      <rgbColor rgb="FF666699"/>
      <rgbColor rgb="FFB8955A"/>
      <rgbColor rgb="FF003366"/>
      <rgbColor rgb="FF1E8449"/>
      <rgbColor rgb="FF003300"/>
      <rgbColor rgb="FF333300"/>
      <rgbColor rgb="FF922B21"/>
      <rgbColor rgb="FF993366"/>
      <rgbColor rgb="FF2B2F8F"/>
      <rgbColor rgb="FF1A1D2E"/>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4"/>
  <sheetViews>
    <sheetView topLeftCell="A9" zoomScaleNormal="100" workbookViewId="0">
      <selection activeCell="B23" sqref="B23"/>
    </sheetView>
  </sheetViews>
  <sheetFormatPr baseColWidth="10" defaultColWidth="8.6640625" defaultRowHeight="15" customHeight="1"/>
  <cols>
    <col width="44" customWidth="1" min="1" max="1"/>
    <col width="50" customWidth="1" min="2" max="2"/>
    <col width="14" customWidth="1" min="3" max="3"/>
    <col width="16" customWidth="1" min="4" max="5"/>
  </cols>
  <sheetData>
    <row r="1" ht="43.5" customHeight="1">
      <c r="A1" s="31" t="inlineStr">
        <is>
          <t>ARIE FINANCE LTD  —  CLIENT RISK SCORING MODEL</t>
        </is>
      </c>
    </row>
    <row r="2" ht="21.75" customHeight="1">
      <c r="A2" s="32" t="inlineStr">
        <is>
          <t>AML / CFT Risk Assessment Framework  |  Based on FATF Risk-Based Approach (Banking Sector)</t>
        </is>
      </c>
    </row>
    <row r="3" ht="6" customHeight="1"/>
    <row r="4" ht="19.5" customHeight="1">
      <c r="A4" s="36" t="inlineStr">
        <is>
          <t>Client / Entity Name:</t>
        </is>
      </c>
      <c r="B4" s="33" t="n"/>
    </row>
    <row r="5" ht="19.5" customHeight="1">
      <c r="A5" s="36" t="inlineStr">
        <is>
          <t>Application Reference:</t>
        </is>
      </c>
      <c r="B5" s="33" t="n"/>
    </row>
    <row r="6" ht="19.5" customHeight="1">
      <c r="A6" s="36" t="inlineStr">
        <is>
          <t>Assessment Date:</t>
        </is>
      </c>
      <c r="B6" s="34" t="inlineStr">
        <is>
          <t>17 March 2026</t>
        </is>
      </c>
    </row>
    <row r="7" ht="19.5" customHeight="1">
      <c r="A7" s="36" t="inlineStr">
        <is>
          <t>Assessed By:</t>
        </is>
      </c>
      <c r="B7" s="33" t="n"/>
    </row>
    <row r="8" ht="6" customHeight="1"/>
    <row r="9" ht="21.75" customHeight="1">
      <c r="A9" s="4" t="inlineStr">
        <is>
          <t>RISK FACTOR</t>
        </is>
      </c>
      <c r="B9" s="4" t="inlineStr">
        <is>
          <t>SELECTION</t>
        </is>
      </c>
      <c r="C9" s="4" t="inlineStr">
        <is>
          <t>SCORE (1–4)</t>
        </is>
      </c>
      <c r="D9" s="4" t="inlineStr">
        <is>
          <t>SUB-FACTOR WEIGHT</t>
        </is>
      </c>
      <c r="E9" s="4" t="inlineStr">
        <is>
          <t>WEIGHTED SCORE</t>
        </is>
      </c>
    </row>
    <row r="10" ht="21.75" customHeight="1">
      <c r="A10" s="29" t="inlineStr">
        <is>
          <t xml:space="preserve">  DIMENSION 1: CUSTOMER / ENTITY RISK    |    Dimension Weight: 30%</t>
        </is>
      </c>
    </row>
    <row r="11" ht="19.5" customHeight="1">
      <c r="A11" s="40" t="inlineStr">
        <is>
          <t>1.1   Entity Type</t>
        </is>
      </c>
      <c r="B11" s="34" t="n"/>
      <c r="C11" s="6">
        <f>IFERROR(VLOOKUP(B11,'Score Reference'!$A$3:$B$14,2,FALSE()),0)</f>
        <v/>
      </c>
      <c r="D11" s="7" t="n">
        <v>0.2</v>
      </c>
      <c r="E11" s="7">
        <f>IF(ISNUMBER(C11),C11*D11,0)</f>
        <v/>
      </c>
    </row>
    <row r="12" ht="19.5" customHeight="1">
      <c r="A12" s="8" t="inlineStr">
        <is>
          <t>1.2   Ownership Structure</t>
        </is>
      </c>
      <c r="B12" s="34" t="n"/>
      <c r="C12" s="9">
        <f>IFERROR(VLOOKUP(B12,'Score Reference'!$A$19:$B$22,2,FALSE()),0)</f>
        <v/>
      </c>
      <c r="D12" s="10" t="n">
        <v>0.2</v>
      </c>
      <c r="E12" s="10">
        <f>IF(ISNUMBER(C12),C12*D12,0)</f>
        <v/>
      </c>
    </row>
    <row r="13" ht="19.5" customHeight="1">
      <c r="A13" s="40" t="inlineStr">
        <is>
          <t>1.3   PEP Status</t>
        </is>
      </c>
      <c r="B13" s="34" t="n"/>
      <c r="C13" s="6">
        <f>IFERROR(VLOOKUP(B13,'Score Reference'!$A$27:$B$30,2,FALSE()),0)</f>
        <v/>
      </c>
      <c r="D13" s="7" t="n">
        <v>0.25</v>
      </c>
      <c r="E13" s="7">
        <f>IF(ISNUMBER(C13),C13*D13,0)</f>
        <v/>
      </c>
    </row>
    <row r="14" ht="19.5" customHeight="1">
      <c r="A14" s="8" t="inlineStr">
        <is>
          <t>1.4   Adverse Media / Negative News</t>
        </is>
      </c>
      <c r="B14" s="34" t="n"/>
      <c r="C14" s="9">
        <f>IFERROR(VLOOKUP(B14,'Score Reference'!$A$35:$B$37,2,FALSE()),0)</f>
        <v/>
      </c>
      <c r="D14" s="10" t="n">
        <v>0.15</v>
      </c>
      <c r="E14" s="10">
        <f>IF(ISNUMBER(C14),C14*D14,0)</f>
        <v/>
      </c>
    </row>
    <row r="15" ht="19.5" customHeight="1">
      <c r="A15" s="40" t="inlineStr">
        <is>
          <t>1.5   Source of Wealth</t>
        </is>
      </c>
      <c r="B15" s="34" t="n"/>
      <c r="C15" s="6">
        <f>IFERROR(VLOOKUP(B15,'Score Reference'!$A$141:$B$148,2,FALSE()),"")</f>
        <v/>
      </c>
      <c r="D15" s="7" t="n">
        <v>0.1</v>
      </c>
      <c r="E15" s="7">
        <f>IF(ISNUMBER(C15),C15*D15,0)</f>
        <v/>
      </c>
    </row>
    <row r="16" ht="19.5" customHeight="1">
      <c r="A16" s="8" t="inlineStr">
        <is>
          <t>1.6   Initial Source of Funds</t>
        </is>
      </c>
      <c r="B16" s="34" t="n"/>
      <c r="C16" s="9">
        <f>IFERROR(VLOOKUP(B16,'Score Reference'!$A$152:$B$160,2,FALSE()),"")</f>
        <v/>
      </c>
      <c r="D16" s="10" t="n">
        <v>0.1</v>
      </c>
      <c r="E16" s="10">
        <f>IF(ISNUMBER(C16),C16*D16,0)</f>
        <v/>
      </c>
    </row>
    <row r="17" ht="21.75" customHeight="1">
      <c r="A17" s="11" t="inlineStr">
        <is>
          <t xml:space="preserve">  DIMENSION 1 SCORE</t>
        </is>
      </c>
      <c r="B17" s="35" t="inlineStr">
        <is>
          <t>Dimension Score (1–4)</t>
        </is>
      </c>
      <c r="D17" s="12" t="n">
        <v>0.3</v>
      </c>
      <c r="E17" s="12">
        <f>IFERROR(SUMPRODUCT(C11:C16,D11:D16),0)</f>
        <v/>
      </c>
    </row>
    <row r="18" ht="6" customHeight="1"/>
    <row r="19" ht="21.75" customHeight="1">
      <c r="A19" s="29" t="inlineStr">
        <is>
          <t xml:space="preserve">  DIMENSION 2: GEOGRAPHIC RISK    |    Dimension Weight: 25%</t>
        </is>
      </c>
    </row>
    <row r="20" ht="19.5" customHeight="1">
      <c r="A20" s="40" t="inlineStr">
        <is>
          <t>2.1   Country of Incorporation</t>
        </is>
      </c>
      <c r="B20" s="34" t="n"/>
      <c r="C20" s="6">
        <f>IFERROR(VLOOKUP(B20,'Score Reference'!$A$43:$B$46,2,FALSE()),0)</f>
        <v/>
      </c>
      <c r="D20" s="7" t="n">
        <v>0.25</v>
      </c>
      <c r="E20" s="7">
        <f>IF(ISNUMBER(C20),C20*D20,0)</f>
        <v/>
      </c>
    </row>
    <row r="21" ht="19.5" customHeight="1">
      <c r="A21" s="8" t="inlineStr">
        <is>
          <t>2.2   UBO Nationalities</t>
        </is>
      </c>
      <c r="B21" s="34" t="n"/>
      <c r="C21" s="9">
        <f>IFERROR(VLOOKUP(B21,'Score Reference'!$A$205:$B$208,2,FALSE()),0)</f>
        <v/>
      </c>
      <c r="D21" s="10" t="n">
        <v>0.2</v>
      </c>
      <c r="E21" s="10">
        <f>IF(ISNUMBER(C21),C21*D21,0)</f>
        <v/>
      </c>
    </row>
    <row r="22" ht="19.5" customHeight="1">
      <c r="A22" s="40" t="inlineStr">
        <is>
          <t>2.3   Intermediary Shareholder Jurisdictions</t>
        </is>
      </c>
      <c r="B22" s="34" t="n"/>
      <c r="C22" s="6">
        <f>IFERROR(VLOOKUP(B22,'Score Reference'!$A$213:$B$216,2,FALSE()),0)</f>
        <v/>
      </c>
      <c r="D22" s="7" t="n">
        <v>0.2</v>
      </c>
      <c r="E22" s="7">
        <f>IF(ISNUMBER(C22),C22*D22,0)</f>
        <v/>
      </c>
    </row>
    <row r="23" ht="19.5" customHeight="1">
      <c r="A23" s="8" t="inlineStr">
        <is>
          <t>2.4   Countries of Operation</t>
        </is>
      </c>
      <c r="B23" s="34" t="n"/>
      <c r="C23" s="9">
        <f>IFERROR(VLOOKUP(B23,'Score Reference'!$A$51:$B$54,2,FALSE()),0)</f>
        <v/>
      </c>
      <c r="D23" s="10" t="n">
        <v>0.2</v>
      </c>
      <c r="E23" s="10">
        <f>IF(ISNUMBER(C23),C23*D23,0)</f>
        <v/>
      </c>
    </row>
    <row r="24" ht="19.5" customHeight="1">
      <c r="A24" s="40" t="inlineStr">
        <is>
          <t>2.5   Target Markets / Payment Corridors</t>
        </is>
      </c>
      <c r="B24" s="34" t="n"/>
      <c r="C24" s="6">
        <f>IFERROR(VLOOKUP(B24,'Score Reference'!$A$59:$B$62,2,FALSE()),0)</f>
        <v/>
      </c>
      <c r="D24" s="7" t="n">
        <v>0.15</v>
      </c>
      <c r="E24" s="7">
        <f>IF(ISNUMBER(C24),C24*D24,0)</f>
        <v/>
      </c>
    </row>
    <row r="25" ht="21.75" customHeight="1">
      <c r="A25" s="11" t="inlineStr">
        <is>
          <t xml:space="preserve">  DIMENSION 2 SCORE</t>
        </is>
      </c>
      <c r="B25" s="35" t="inlineStr">
        <is>
          <t>Dimension Score (1–4)</t>
        </is>
      </c>
      <c r="D25" s="12" t="n">
        <v>0.25</v>
      </c>
      <c r="E25" s="12">
        <f>IFERROR(SUMPRODUCT(C20:C24,D20:D24),0)</f>
        <v/>
      </c>
    </row>
    <row r="26" ht="6" customHeight="1"/>
    <row r="27" ht="21.75" customHeight="1">
      <c r="A27" s="29" t="inlineStr">
        <is>
          <t xml:space="preserve">  DIMENSION 3: PRODUCT / SERVICE RISK    |    Dimension Weight: 20%</t>
        </is>
      </c>
    </row>
    <row r="28" ht="19.5" customHeight="1">
      <c r="A28" s="40" t="inlineStr">
        <is>
          <t>3.1   Primary Service Required</t>
        </is>
      </c>
      <c r="B28" s="34" t="inlineStr">
        <is>
          <t>Domestic payments only (single currency)</t>
        </is>
      </c>
      <c r="C28" s="6">
        <f>IFERROR(VLOOKUP(B28,'Score Reference'!$A$68:$B$70,2,FALSE()),0)</f>
        <v/>
      </c>
      <c r="D28" s="7" t="n">
        <v>0.4</v>
      </c>
      <c r="E28" s="7">
        <f>IF(ISNUMBER(C28),C28*D28,0)</f>
        <v/>
      </c>
    </row>
    <row r="29" ht="19.5" customHeight="1">
      <c r="A29" s="8" t="inlineStr">
        <is>
          <t>3.2   Expected Monthly Transaction Volume</t>
        </is>
      </c>
      <c r="B29" s="34" t="n"/>
      <c r="C29" s="9">
        <f>IFERROR(VLOOKUP(B29,'Score Reference'!$A$76:$B$79,2,FALSE()),0)</f>
        <v/>
      </c>
      <c r="D29" s="10" t="n">
        <v>0.35</v>
      </c>
      <c r="E29" s="10">
        <f>IF(ISNUMBER(C29),C29*D29,0)</f>
        <v/>
      </c>
    </row>
    <row r="30" ht="19.5" customHeight="1">
      <c r="A30" s="40" t="inlineStr">
        <is>
          <t>3.3   Transaction Complexity &amp; Corridors</t>
        </is>
      </c>
      <c r="B30" s="34" t="n"/>
      <c r="C30" s="6">
        <f>IFERROR(VLOOKUP(B30,'Score Reference'!$A$84:$B$87,2,FALSE()),0)</f>
        <v/>
      </c>
      <c r="D30" s="7" t="n">
        <v>0.25</v>
      </c>
      <c r="E30" s="7">
        <f>IF(ISNUMBER(C30),C30*D30,0)</f>
        <v/>
      </c>
    </row>
    <row r="31" ht="21.75" customHeight="1">
      <c r="A31" s="11" t="inlineStr">
        <is>
          <t xml:space="preserve">  DIMENSION 3 SCORE</t>
        </is>
      </c>
      <c r="B31" s="35" t="inlineStr">
        <is>
          <t>Dimension Score (1–4)</t>
        </is>
      </c>
      <c r="D31" s="12" t="n">
        <v>0.2</v>
      </c>
      <c r="E31" s="12">
        <f>IFERROR(SUMPRODUCT(C28:C30,D28:D30),0)</f>
        <v/>
      </c>
    </row>
    <row r="32" ht="6" customHeight="1"/>
    <row r="33" ht="21.75" customHeight="1">
      <c r="A33" s="29" t="inlineStr">
        <is>
          <t xml:space="preserve">  DIMENSION 4: INDUSTRY / SECTOR RISK    |    Dimension Weight: 15%</t>
        </is>
      </c>
    </row>
    <row r="34" ht="19.5" customHeight="1">
      <c r="A34" s="40" t="inlineStr">
        <is>
          <t>4.1   Business Sector / Industry</t>
        </is>
      </c>
      <c r="B34" s="34" t="n"/>
      <c r="C34" s="6">
        <f>IFERROR(VLOOKUP(B34,'Score Reference'!$A$93:$B$120,2,FALSE()),0)</f>
        <v/>
      </c>
      <c r="D34" s="7" t="n">
        <v>1</v>
      </c>
      <c r="E34" s="7">
        <f>IF(ISNUMBER(C34),C34*D34,0)</f>
        <v/>
      </c>
    </row>
    <row r="35" ht="21.75" customHeight="1">
      <c r="A35" s="11" t="inlineStr">
        <is>
          <t xml:space="preserve">  DIMENSION 4 SCORE</t>
        </is>
      </c>
      <c r="B35" s="35" t="inlineStr">
        <is>
          <t>Dimension Score (1–4)</t>
        </is>
      </c>
      <c r="D35" s="12" t="n">
        <v>0.15</v>
      </c>
      <c r="E35" s="12">
        <f>IFERROR(SUMPRODUCT(C34,D34),0)</f>
        <v/>
      </c>
    </row>
    <row r="36" ht="6" customHeight="1"/>
    <row r="37" ht="21.75" customHeight="1">
      <c r="A37" s="29" t="inlineStr">
        <is>
          <t xml:space="preserve">  DIMENSION 5: DELIVERY CHANNEL RISK    |    Dimension Weight: 10%</t>
        </is>
      </c>
    </row>
    <row r="38" ht="19.5" customHeight="1">
      <c r="A38" s="40" t="inlineStr">
        <is>
          <t>5.1   Introduction / Referral Method</t>
        </is>
      </c>
      <c r="B38" s="34" t="n"/>
      <c r="C38" s="6">
        <f>IFERROR(VLOOKUP(B38,'Score Reference'!$A$125:$B$128,2,FALSE()),0)</f>
        <v/>
      </c>
      <c r="D38" s="7" t="n">
        <v>0.5</v>
      </c>
      <c r="E38" s="7">
        <f>IF(ISNUMBER(C38),C38*D38,0)</f>
        <v/>
      </c>
    </row>
    <row r="39" ht="19.5" customHeight="1">
      <c r="A39" s="8" t="inlineStr">
        <is>
          <t>5.2   Customer Interaction Type</t>
        </is>
      </c>
      <c r="B39" s="34" t="n"/>
      <c r="C39" s="9">
        <f>IFERROR(VLOOKUP(B39,'Score Reference'!$A$133:$B$136,2,FALSE()),0)</f>
        <v/>
      </c>
      <c r="D39" s="10" t="n">
        <v>0.5</v>
      </c>
      <c r="E39" s="10">
        <f>IF(ISNUMBER(C39),C39*D39,0)</f>
        <v/>
      </c>
    </row>
    <row r="40" ht="21.75" customHeight="1">
      <c r="A40" s="11" t="inlineStr">
        <is>
          <t xml:space="preserve">  DIMENSION 5 SCORE</t>
        </is>
      </c>
      <c r="B40" s="35" t="inlineStr">
        <is>
          <t>Dimension Score (1–4)</t>
        </is>
      </c>
      <c r="D40" s="12" t="n">
        <v>0.1</v>
      </c>
      <c r="E40" s="12">
        <f>IFERROR(SUMPRODUCT(C38:C39,D38:D39),0)</f>
        <v/>
      </c>
    </row>
    <row r="41" ht="6" customHeight="1"/>
    <row r="42" ht="6" customHeight="1"/>
    <row r="43" ht="6" customHeight="1"/>
    <row r="44" ht="6" customHeight="1"/>
    <row r="45" ht="6" customHeight="1"/>
    <row r="46" ht="6" customHeight="1"/>
    <row r="47" ht="6" customHeight="1"/>
    <row r="48" ht="30" customHeight="1">
      <c r="A48" s="38" t="inlineStr">
        <is>
          <t xml:space="preserve">  OVERALL RISK ASSESSMENT</t>
        </is>
      </c>
    </row>
    <row r="49" ht="27.75" customHeight="1">
      <c r="A49" s="36" t="inlineStr">
        <is>
          <t xml:space="preserve">  WEIGHTED COMPOSITE SCORE</t>
        </is>
      </c>
      <c r="B49" s="39" t="inlineStr">
        <is>
          <t>Normalised score out of 100</t>
        </is>
      </c>
      <c r="E49" s="13">
        <f>IFERROR(ROUND((E17+E25+E31+E35+E40)/4*100,1),0)</f>
        <v/>
      </c>
    </row>
    <row r="50" ht="27.75" customHeight="1">
      <c r="A50" s="36" t="inlineStr">
        <is>
          <t xml:space="preserve">  RISK RATING</t>
        </is>
      </c>
      <c r="B50" s="39" t="inlineStr">
        <is>
          <t>Low (0–39)  |  Medium (40–54)  |  High (55–69)  |  Very High (70–100)</t>
        </is>
      </c>
      <c r="E50" s="14">
        <f>IF(E49&gt;=70,"HIGH RISK",IF(E49&gt;=40,"MEDIUM RISK",IF(E49&gt;0,"LOW RISK","Awaiting Input")))</f>
        <v/>
      </c>
    </row>
    <row r="51" ht="7.5" customHeight="1">
      <c r="A51" s="36" t="inlineStr">
        <is>
          <t xml:space="preserve">  DUE DILIGENCE REQUIREMENT</t>
        </is>
      </c>
      <c r="B51" s="36">
        <f>IF(E49&gt;=70,"Enhanced Due Diligence (EDD) — Senior Compliance Review Required",IF(E49&gt;=40,"Customer Due Diligence (CDD) — Standard Onboarding",IF(E49&gt;0,"Simplified Due Diligence (SDD) — Fast-Track Eligible","")))</f>
        <v/>
      </c>
    </row>
    <row r="52" ht="13.5" customHeight="1">
      <c r="A52" s="36" t="inlineStr">
        <is>
          <t xml:space="preserve">  COMPLIANCE APPROVAL FLAG</t>
        </is>
      </c>
      <c r="B52" s="36">
        <f>IF(OR(COUNTIF(C11:C16,4)&gt;0,COUNTIF(C20:C24,4)&gt;0,COUNTIF(C28:C30,4)&gt;0,COUNTIF(C34,4)&gt;0,E49&gt;=85),"⚠️ MANDATORY COMPLIANCE OFFICER APPROVAL REQUIRED","")</f>
        <v/>
      </c>
    </row>
    <row r="53" ht="7.5" customHeight="1"/>
    <row r="54" ht="15" customHeight="1">
      <c r="A54" s="37" t="inlineStr">
        <is>
          <t>Source: ARIE Finance Ltd — AML/CFT Risk Scoring Model v1.6  |  FATF Risk-Based Approach (Banking Sector) Guidance  |  Last Updated: March 2026</t>
        </is>
      </c>
    </row>
  </sheetData>
  <mergeCells count="22">
    <mergeCell ref="A48:E48"/>
    <mergeCell ref="B25:C25"/>
    <mergeCell ref="B6:E6"/>
    <mergeCell ref="A1:E1"/>
    <mergeCell ref="B51:E51"/>
    <mergeCell ref="B31:C31"/>
    <mergeCell ref="B5:E5"/>
    <mergeCell ref="B4:E4"/>
    <mergeCell ref="A54:E54"/>
    <mergeCell ref="B49:D49"/>
    <mergeCell ref="B7:E7"/>
    <mergeCell ref="A37:E37"/>
    <mergeCell ref="B17:C17"/>
    <mergeCell ref="A27:E27"/>
    <mergeCell ref="A2:E2"/>
    <mergeCell ref="B52:E52"/>
    <mergeCell ref="B50:D50"/>
    <mergeCell ref="A33:E33"/>
    <mergeCell ref="B40:C40"/>
    <mergeCell ref="A10:E10"/>
    <mergeCell ref="A19:E19"/>
    <mergeCell ref="B35:C35"/>
  </mergeCells>
  <dataValidations count="17">
    <dataValidation sqref="B11" showDropDown="0" showInputMessage="1" showErrorMessage="1" allowBlank="1" errorTitle="Invalid Selection" error="Please select a valid option for 1.1 Entity Type" promptTitle="1.1 Entity Type" prompt="Select 1.1 Entity Type" type="list">
      <formula1>='Score Reference'!$A$3:$A$14</formula1>
    </dataValidation>
    <dataValidation sqref="B12" showDropDown="0" showInputMessage="1" showErrorMessage="1" allowBlank="1" errorTitle="Invalid Selection" error="Please select a valid option for 1.2 Ownership Structure" promptTitle="1.2 Ownership Structure" prompt="Select 1.2 Ownership Structure" type="list">
      <formula1>"Simple — direct identifiable UBOs,1–2 ownership layers,3+ ownership layers / nominee shareholders,Complex multi-jurisdiction / opaque structure"</formula1>
    </dataValidation>
    <dataValidation sqref="B13" showDropDown="0" showInputMessage="1" showErrorMessage="1" allowBlank="1" errorTitle="Invalid Selection" error="Please select a valid option for 1.3 PEP Status" promptTitle="1.3 PEP Status" prompt="Select 1.3 PEP Status" type="list">
      <formula1>"No PEP connection,Close associate or family member of PEP,Domestic Politically Exposed Person (PEP),Foreign / International PEP"</formula1>
    </dataValidation>
    <dataValidation sqref="B14" showDropDown="0" showInputMessage="1" showErrorMessage="1" allowBlank="1" errorTitle="Invalid Selection" error="Please select a valid option for 1.4 Adverse Media" promptTitle="1.4 Adverse Media" prompt="Select 1.4 Adverse Media" type="list">
      <formula1>"No adverse media identified,Minor or unsubstantiated reports,Confirmed adverse media / regulatory action"</formula1>
    </dataValidation>
    <dataValidation sqref="B15" showDropDown="0" showInputMessage="1" showErrorMessage="1" allowBlank="1" errorTitle="Invalid Selection" error="Please select a valid option for 1.5 Source of Wealth" promptTitle="1.5 Source of Wealth" prompt="Select 1.5 Source of Wealth" type="list">
      <formula1>"Business revenue / trading profits,Investment returns / dividends,Sale of assets / property,Venture capital / investor funding,Government funding / grants,Inheritance / family wealth,Loan / credit facility proceeds,Other"</formula1>
    </dataValidation>
    <dataValidation sqref="B16" showDropDown="0" showInputMessage="1" showErrorMessage="1" allowBlank="1" errorTitle="Invalid Selection" error="Please select a valid option for 1.6 Source of Funds" promptTitle="1.6 Source of Funds" prompt="Select 1.6 Source of Funds" type="list">
      <formula1>='Score Reference'!$A$152:$A$160</formula1>
    </dataValidation>
    <dataValidation sqref="B20" showDropDown="0" showInputMessage="1" showErrorMessage="1" allowBlank="1" errorTitle="Invalid Selection" error="Please select a valid option for 2.1 Country of Incorporation" promptTitle="2.1 Country of Incorporation" prompt="Select 2.1 Country of Incorporation" type="list">
      <formula1>"FATF member — low risk jurisdiction,FATF member — standard / emerging jurisdiction,FATF Grey List country,FATF Black List / sanctioned country"</formula1>
    </dataValidation>
    <dataValidation sqref="B21" showDropDown="0" showInputMessage="1" showErrorMessage="1" allowBlank="1" errorTitle="Invalid Selection" error="Please select a valid option for 2.2 UBO Nationalities" promptTitle="2.2 UBO Nationalities" prompt="Select 2.2 UBO Nationalities" type="list">
      <formula1>"All UBOs/directors from low-risk jurisdictions,Mix of low-risk and standard/emerging nationalities,Includes FATF Grey List / high-risk nationalities,Includes sanctioned / blacklisted nationalities"</formula1>
    </dataValidation>
    <dataValidation sqref="B22" showDropDown="0" showInputMessage="1" showErrorMessage="1" allowBlank="1" errorTitle="Invalid Selection" error="Please select a valid option for 2.3 Intermediary Jurisdictions" promptTitle="2.3 Intermediary Jurisdictions" prompt="Select 2.3 Intermediary Jurisdictions" type="list">
      <formula1>"No intermediaries or all low-risk jurisdictions,Intermediaries in standard / emerging jurisdictions,Includes FATF Grey List / opaque jurisdictions,Includes sanctioned / secrecy jurisdictions"</formula1>
    </dataValidation>
    <dataValidation sqref="B23" showDropDown="0" showInputMessage="1" showErrorMessage="1" allowBlank="1" errorTitle="Invalid Selection" error="Please select a valid option for 2.4 Countries of Operation" promptTitle="2.4 Countries of Operation" prompt="Select 2.4 Countries of Operation" type="list">
      <formula1>"All low-risk jurisdictions,Predominantly low-risk with some medium-risk jurisdictions,Includes high-risk jurisdictions,Predominantly high-risk or sanctioned jurisdictions"</formula1>
    </dataValidation>
    <dataValidation sqref="B24" showDropDown="0" showInputMessage="1" showErrorMessage="1" allowBlank="1" errorTitle="Invalid Selection" error="Please select a valid option for 2.5 Target Markets" promptTitle="2.5 Target Markets" prompt="Select 2.5 Target Markets" type="list">
      <formula1>"Developed markets only,Mix of developed and emerging markets,Predominantly emerging / frontier markets,Includes sanctioned or very high-risk markets"</formula1>
    </dataValidation>
    <dataValidation sqref="B28" showDropDown="0" showInputMessage="1" showErrorMessage="1" allowBlank="1" errorTitle="Invalid Selection" error="Please select a valid option for 3.1 Primary Service" promptTitle="3.1 Primary Service" prompt="Select 3.1 Primary Service" type="list">
      <formula1>"Domestic payments only (single currency),Multi-currency corporate accounts,Cross-border international transfers"</formula1>
    </dataValidation>
    <dataValidation sqref="B29" showDropDown="0" showInputMessage="1" showErrorMessage="1" allowBlank="1" errorTitle="Invalid Selection" error="Please select a valid option for 3.2 Transaction Volume" promptTitle="3.2 Transaction Volume" prompt="Select 3.2 Transaction Volume" type="list">
      <formula1>"Under USD 50,000 per month,USD 50,000 to USD 500,000 per month,USD 500,000 to USD 5,000,000 per month,Over USD 5,000,000 per month"</formula1>
    </dataValidation>
    <dataValidation sqref="B30" showDropDown="0" showInputMessage="1" showErrorMessage="1" allowBlank="1" errorTitle="Invalid Selection" error="Please select a valid option for 3.3 Transaction Complexity" promptTitle="3.3 Transaction Complexity" prompt="Select 3.3 Transaction Complexity" type="list">
      <formula1>"Simple — single currency, domestic corridors,Standard — multi-currency, low-risk corridors,Complex — multiple international corridors,Very complex — includes high-risk corridors"</formula1>
    </dataValidation>
    <dataValidation sqref="B34" showDropDown="0" showInputMessage="1" showErrorMessage="1" allowBlank="1" errorTitle="Invalid Selection" error="Please select a valid option for 4.1 Business Sector" promptTitle="4.1 Business Sector" prompt="Select 4.1 Business Sector" type="list">
      <formula1>='Score Reference'!$A$93:$A$120</formula1>
    </dataValidation>
    <dataValidation sqref="B38" showDropDown="0" showInputMessage="1" showErrorMessage="1" allowBlank="1" errorTitle="Invalid Selection" error="Please select a valid option for 5.1 Introduction Method" promptTitle="5.1 Introduction Method" prompt="Select 5.1 Introduction Method" type="list">
      <formula1>"Direct application — client initiated,Introduced by regulated intermediary / agent,Introduced by non-regulated intermediary,Unsolicited / unknown referral source"</formula1>
    </dataValidation>
    <dataValidation sqref="B39" showDropDown="0" showInputMessage="1" showErrorMessage="1" allowBlank="1" errorTitle="Invalid Selection" error="Please select a valid option for 5.2 Customer Interaction" promptTitle="5.2 Customer Interaction" prompt="Select 5.2 Customer Interaction" type="list">
      <formula1>"In-person face-to-face meeting conducted,Video KYC / video call conducted,Non-face-to-face — low-risk jurisdiction,Non-face-to-face — high-risk jurisdiction"</formula1>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216"/>
  <sheetViews>
    <sheetView topLeftCell="A81" zoomScaleNormal="100" workbookViewId="0">
      <selection activeCell="B198" sqref="B198:D198"/>
    </sheetView>
  </sheetViews>
  <sheetFormatPr baseColWidth="10" defaultColWidth="8.6640625" defaultRowHeight="15" customHeight="1"/>
  <cols>
    <col width="52" customWidth="1" min="1" max="1"/>
    <col width="8" customWidth="1" min="2" max="2"/>
    <col width="16" customWidth="1" min="3" max="3"/>
    <col width="60" customWidth="1" min="4" max="4"/>
  </cols>
  <sheetData>
    <row r="1" ht="16" customHeight="1">
      <c r="A1" s="28" t="inlineStr">
        <is>
          <t>ARIE FINANCE LTD — SCORE REFERENCE DATA</t>
        </is>
      </c>
    </row>
    <row r="2">
      <c r="A2" s="29" t="inlineStr">
        <is>
          <t>1.1  Entity Type</t>
        </is>
      </c>
    </row>
    <row r="3">
      <c r="A3" s="1" t="inlineStr">
        <is>
          <t>Listed Company on Regulated Exchange</t>
        </is>
      </c>
      <c r="B3" s="15" t="n">
        <v>1</v>
      </c>
      <c r="C3" s="16" t="inlineStr">
        <is>
          <t>Low Risk</t>
        </is>
      </c>
    </row>
    <row r="4">
      <c r="A4" s="17" t="inlineStr">
        <is>
          <t>Regulated Financial Institution</t>
        </is>
      </c>
      <c r="B4" s="15" t="n">
        <v>1</v>
      </c>
      <c r="C4" s="16" t="inlineStr">
        <is>
          <t>Low Risk</t>
        </is>
      </c>
    </row>
    <row r="5">
      <c r="A5" s="1" t="inlineStr">
        <is>
          <t>Government / Public Sector Entity</t>
        </is>
      </c>
      <c r="B5" s="15" t="n">
        <v>1</v>
      </c>
      <c r="C5" s="16" t="inlineStr">
        <is>
          <t>Low Risk</t>
        </is>
      </c>
    </row>
    <row r="6">
      <c r="A6" s="17" t="inlineStr">
        <is>
          <t>Large Private Company (revenue &gt; USD 10m)</t>
        </is>
      </c>
      <c r="B6" s="18" t="n">
        <v>2</v>
      </c>
      <c r="C6" s="19" t="inlineStr">
        <is>
          <t>Medium Risk</t>
        </is>
      </c>
    </row>
    <row r="7">
      <c r="A7" s="1" t="inlineStr">
        <is>
          <t>SME / Private Company</t>
        </is>
      </c>
      <c r="B7" s="18" t="n">
        <v>2</v>
      </c>
      <c r="C7" s="19" t="inlineStr">
        <is>
          <t>Medium Risk</t>
        </is>
      </c>
    </row>
    <row r="8">
      <c r="A8" s="17" t="inlineStr">
        <is>
          <t>Newly Incorporated Company (&lt; 1 year)</t>
        </is>
      </c>
      <c r="B8" s="20" t="n">
        <v>3</v>
      </c>
      <c r="C8" s="21" t="inlineStr">
        <is>
          <t>High Risk</t>
        </is>
      </c>
    </row>
    <row r="9">
      <c r="A9" s="1" t="inlineStr">
        <is>
          <t>Trust</t>
        </is>
      </c>
      <c r="B9" s="20" t="n">
        <v>3</v>
      </c>
      <c r="C9" s="21" t="inlineStr">
        <is>
          <t>High Risk</t>
        </is>
      </c>
    </row>
    <row r="10">
      <c r="A10" s="17" t="inlineStr">
        <is>
          <t>Foundation</t>
        </is>
      </c>
      <c r="B10" s="20" t="n">
        <v>3</v>
      </c>
      <c r="C10" s="21" t="inlineStr">
        <is>
          <t>High Risk</t>
        </is>
      </c>
    </row>
    <row r="11">
      <c r="A11" s="1" t="inlineStr">
        <is>
          <t>Regulated Fund (CIS / Licensed)</t>
        </is>
      </c>
      <c r="B11" s="18" t="n">
        <v>2</v>
      </c>
      <c r="C11" s="19" t="inlineStr">
        <is>
          <t>Medium Risk</t>
        </is>
      </c>
    </row>
    <row r="12">
      <c r="A12" s="17" t="inlineStr">
        <is>
          <t>Unregulated Fund / SPV</t>
        </is>
      </c>
      <c r="B12" s="22" t="n">
        <v>4</v>
      </c>
      <c r="C12" s="23" t="inlineStr">
        <is>
          <t>Very High Risk</t>
        </is>
      </c>
    </row>
    <row r="13">
      <c r="A13" s="1" t="inlineStr">
        <is>
          <t>Non-Profit Organisation / NGO</t>
        </is>
      </c>
      <c r="B13" s="20" t="n">
        <v>3</v>
      </c>
      <c r="C13" s="21" t="inlineStr">
        <is>
          <t>High Risk</t>
        </is>
      </c>
    </row>
    <row r="14">
      <c r="A14" s="17" t="inlineStr">
        <is>
          <t>Shell Company / Special Purpose Vehicle</t>
        </is>
      </c>
      <c r="B14" s="22" t="n">
        <v>4</v>
      </c>
      <c r="C14" s="23" t="inlineStr">
        <is>
          <t>Very High Risk</t>
        </is>
      </c>
    </row>
    <row r="15"/>
    <row r="16"/>
    <row r="17"/>
    <row r="18">
      <c r="A18" s="29" t="inlineStr">
        <is>
          <t>1.2  Ownership Structure</t>
        </is>
      </c>
    </row>
    <row r="19">
      <c r="A19" s="1" t="inlineStr">
        <is>
          <t>Simple — direct identifiable UBOs</t>
        </is>
      </c>
      <c r="B19" s="15" t="n">
        <v>1</v>
      </c>
      <c r="C19" s="16" t="inlineStr">
        <is>
          <t>Low Risk</t>
        </is>
      </c>
    </row>
    <row r="20">
      <c r="A20" s="17" t="inlineStr">
        <is>
          <t>1–2 ownership layers</t>
        </is>
      </c>
      <c r="B20" s="18" t="n">
        <v>2</v>
      </c>
      <c r="C20" s="19" t="inlineStr">
        <is>
          <t>Medium Risk</t>
        </is>
      </c>
    </row>
    <row r="21">
      <c r="A21" s="1" t="inlineStr">
        <is>
          <t>3+ ownership layers / nominee shareholders</t>
        </is>
      </c>
      <c r="B21" s="20" t="n">
        <v>3</v>
      </c>
      <c r="C21" s="21" t="inlineStr">
        <is>
          <t>High Risk</t>
        </is>
      </c>
    </row>
    <row r="22">
      <c r="A22" s="17" t="inlineStr">
        <is>
          <t>Complex multi-jurisdiction / opaque structure</t>
        </is>
      </c>
      <c r="B22" s="22" t="n">
        <v>4</v>
      </c>
      <c r="C22" s="23" t="inlineStr">
        <is>
          <t>Very High Risk</t>
        </is>
      </c>
    </row>
    <row r="23"/>
    <row r="24"/>
    <row r="25"/>
    <row r="26">
      <c r="A26" s="29" t="inlineStr">
        <is>
          <t>1.3  PEP Status</t>
        </is>
      </c>
    </row>
    <row r="27">
      <c r="A27" s="1" t="inlineStr">
        <is>
          <t>No PEP connection</t>
        </is>
      </c>
      <c r="B27" s="15" t="n">
        <v>1</v>
      </c>
      <c r="C27" s="16" t="inlineStr">
        <is>
          <t>Low Risk</t>
        </is>
      </c>
    </row>
    <row r="28">
      <c r="A28" s="17" t="inlineStr">
        <is>
          <t>Close associate or family member of PEP</t>
        </is>
      </c>
      <c r="B28" s="20" t="n">
        <v>3</v>
      </c>
      <c r="C28" s="21" t="inlineStr">
        <is>
          <t>High Risk</t>
        </is>
      </c>
    </row>
    <row r="29">
      <c r="A29" s="1" t="inlineStr">
        <is>
          <t>Domestic Politically Exposed Person (PEP)</t>
        </is>
      </c>
      <c r="B29" s="20" t="n">
        <v>3</v>
      </c>
      <c r="C29" s="21" t="inlineStr">
        <is>
          <t>High Risk</t>
        </is>
      </c>
    </row>
    <row r="30">
      <c r="A30" s="17" t="inlineStr">
        <is>
          <t>Foreign / International PEP</t>
        </is>
      </c>
      <c r="B30" s="22" t="n">
        <v>4</v>
      </c>
      <c r="C30" s="23" t="inlineStr">
        <is>
          <t>Very High Risk</t>
        </is>
      </c>
    </row>
    <row r="31"/>
    <row r="32"/>
    <row r="33"/>
    <row r="34">
      <c r="A34" s="29" t="inlineStr">
        <is>
          <t>1.4  Adverse Media / Negative News</t>
        </is>
      </c>
    </row>
    <row r="35">
      <c r="A35" s="1" t="inlineStr">
        <is>
          <t>No adverse media identified</t>
        </is>
      </c>
      <c r="B35" s="15" t="n">
        <v>1</v>
      </c>
      <c r="C35" s="16" t="inlineStr">
        <is>
          <t>Low Risk</t>
        </is>
      </c>
    </row>
    <row r="36">
      <c r="A36" s="17" t="inlineStr">
        <is>
          <t>Minor or unsubstantiated reports</t>
        </is>
      </c>
      <c r="B36" s="18" t="n">
        <v>2</v>
      </c>
      <c r="C36" s="19" t="inlineStr">
        <is>
          <t>Medium Risk</t>
        </is>
      </c>
    </row>
    <row r="37">
      <c r="A37" s="1" t="inlineStr">
        <is>
          <t>Confirmed adverse media / regulatory action</t>
        </is>
      </c>
      <c r="B37" s="22" t="n">
        <v>4</v>
      </c>
      <c r="C37" s="23" t="inlineStr">
        <is>
          <t>Very High Risk</t>
        </is>
      </c>
    </row>
    <row r="38"/>
    <row r="39"/>
    <row r="40"/>
    <row r="41"/>
    <row r="42">
      <c r="A42" s="29" t="inlineStr">
        <is>
          <t>2.1  Country of Incorporation</t>
        </is>
      </c>
    </row>
    <row r="43">
      <c r="A43" s="1" t="inlineStr">
        <is>
          <t>FATF member — low risk jurisdiction</t>
        </is>
      </c>
      <c r="B43" s="15" t="n">
        <v>1</v>
      </c>
      <c r="C43" s="16" t="inlineStr">
        <is>
          <t>Low Risk</t>
        </is>
      </c>
    </row>
    <row r="44">
      <c r="A44" s="17" t="inlineStr">
        <is>
          <t>FATF member — standard / emerging jurisdiction</t>
        </is>
      </c>
      <c r="B44" s="18" t="n">
        <v>2</v>
      </c>
      <c r="C44" s="19" t="inlineStr">
        <is>
          <t>Medium Risk</t>
        </is>
      </c>
    </row>
    <row r="45">
      <c r="A45" s="1" t="inlineStr">
        <is>
          <t>FATF Grey List country</t>
        </is>
      </c>
      <c r="B45" s="20" t="n">
        <v>3</v>
      </c>
      <c r="C45" s="21" t="inlineStr">
        <is>
          <t>High Risk</t>
        </is>
      </c>
    </row>
    <row r="46">
      <c r="A46" s="17" t="inlineStr">
        <is>
          <t>FATF Black List / sanctioned country</t>
        </is>
      </c>
      <c r="B46" s="22" t="n">
        <v>4</v>
      </c>
      <c r="C46" s="23" t="inlineStr">
        <is>
          <t>Very High Risk</t>
        </is>
      </c>
    </row>
    <row r="47">
      <c r="A47" s="41" t="inlineStr">
        <is>
          <t>⚠ FLOOR RULE: Sanctioned/FATF Black List country forces overall risk to VERY HIGH (v1.6)</t>
        </is>
      </c>
    </row>
    <row r="48"/>
    <row r="49"/>
    <row r="50">
      <c r="A50" s="29" t="inlineStr">
        <is>
          <t>2.4  Countries of Operation</t>
        </is>
      </c>
    </row>
    <row r="51">
      <c r="A51" s="1" t="inlineStr">
        <is>
          <t>All low-risk jurisdictions</t>
        </is>
      </c>
      <c r="B51" s="15" t="n">
        <v>1</v>
      </c>
      <c r="C51" s="16" t="inlineStr">
        <is>
          <t>Low Risk</t>
        </is>
      </c>
    </row>
    <row r="52">
      <c r="A52" s="17" t="inlineStr">
        <is>
          <t>Predominantly low-risk with some medium-risk jurisdictions</t>
        </is>
      </c>
      <c r="B52" s="18" t="n">
        <v>2</v>
      </c>
      <c r="C52" s="19" t="inlineStr">
        <is>
          <t>Medium Risk</t>
        </is>
      </c>
    </row>
    <row r="53">
      <c r="A53" s="1" t="inlineStr">
        <is>
          <t>Includes high-risk jurisdictions</t>
        </is>
      </c>
      <c r="B53" s="20" t="n">
        <v>3</v>
      </c>
      <c r="C53" s="21" t="inlineStr">
        <is>
          <t>High Risk</t>
        </is>
      </c>
    </row>
    <row r="54">
      <c r="A54" s="17" t="inlineStr">
        <is>
          <t>Predominantly high-risk or sanctioned jurisdictions</t>
        </is>
      </c>
      <c r="B54" s="22" t="n">
        <v>4</v>
      </c>
      <c r="C54" s="23" t="inlineStr">
        <is>
          <t>Very High Risk</t>
        </is>
      </c>
    </row>
    <row r="55"/>
    <row r="56"/>
    <row r="57"/>
    <row r="58">
      <c r="A58" s="29" t="inlineStr">
        <is>
          <t>2.5  Target Markets / Payment Corridors</t>
        </is>
      </c>
    </row>
    <row r="59">
      <c r="A59" s="1" t="inlineStr">
        <is>
          <t>Developed markets only</t>
        </is>
      </c>
      <c r="B59" s="15" t="n">
        <v>1</v>
      </c>
      <c r="C59" s="16" t="inlineStr">
        <is>
          <t>Low Risk</t>
        </is>
      </c>
    </row>
    <row r="60">
      <c r="A60" s="17" t="inlineStr">
        <is>
          <t>Mix of developed and emerging markets</t>
        </is>
      </c>
      <c r="B60" s="18" t="n">
        <v>2</v>
      </c>
      <c r="C60" s="19" t="inlineStr">
        <is>
          <t>Medium Risk</t>
        </is>
      </c>
    </row>
    <row r="61">
      <c r="A61" s="1" t="inlineStr">
        <is>
          <t>Predominantly emerging / frontier markets</t>
        </is>
      </c>
      <c r="B61" s="20" t="n">
        <v>3</v>
      </c>
      <c r="C61" s="21" t="inlineStr">
        <is>
          <t>High Risk</t>
        </is>
      </c>
    </row>
    <row r="62">
      <c r="A62" s="17" t="inlineStr">
        <is>
          <t>Includes sanctioned or very high-risk markets</t>
        </is>
      </c>
      <c r="B62" s="22" t="n">
        <v>4</v>
      </c>
      <c r="C62" s="23" t="inlineStr">
        <is>
          <t>Very High Risk</t>
        </is>
      </c>
    </row>
    <row r="63"/>
    <row r="64"/>
    <row r="65"/>
    <row r="66"/>
    <row r="67">
      <c r="A67" s="29" t="inlineStr">
        <is>
          <t>3.1  Primary Service Required</t>
        </is>
      </c>
    </row>
    <row r="68">
      <c r="A68" s="1" t="inlineStr">
        <is>
          <t>Domestic payments only (single currency)</t>
        </is>
      </c>
      <c r="B68" s="15" t="n">
        <v>1</v>
      </c>
      <c r="C68" s="16" t="inlineStr">
        <is>
          <t>Low Risk</t>
        </is>
      </c>
    </row>
    <row r="69">
      <c r="A69" s="17" t="inlineStr">
        <is>
          <t>Multi-currency corporate accounts</t>
        </is>
      </c>
      <c r="B69" s="18" t="n">
        <v>2</v>
      </c>
      <c r="C69" s="19" t="inlineStr">
        <is>
          <t>Medium Risk</t>
        </is>
      </c>
    </row>
    <row r="70">
      <c r="A70" s="1" t="inlineStr">
        <is>
          <t>Cross-border international transfers</t>
        </is>
      </c>
      <c r="B70" s="20" t="n">
        <v>3</v>
      </c>
      <c r="C70" s="21" t="inlineStr">
        <is>
          <t>High Risk</t>
        </is>
      </c>
    </row>
    <row r="71"/>
    <row r="72"/>
    <row r="73"/>
    <row r="74"/>
    <row r="75">
      <c r="A75" s="29" t="inlineStr">
        <is>
          <t>3.2  Expected Monthly Transaction Volume</t>
        </is>
      </c>
    </row>
    <row r="76">
      <c r="A76" s="1" t="inlineStr">
        <is>
          <t>Under USD 50,000 per month</t>
        </is>
      </c>
      <c r="B76" s="15" t="n">
        <v>1</v>
      </c>
      <c r="C76" s="16" t="inlineStr">
        <is>
          <t>Low Risk</t>
        </is>
      </c>
    </row>
    <row r="77">
      <c r="A77" s="17" t="inlineStr">
        <is>
          <t>USD 50,000 to USD 500,000 per month</t>
        </is>
      </c>
      <c r="B77" s="18" t="n">
        <v>2</v>
      </c>
      <c r="C77" s="19" t="inlineStr">
        <is>
          <t>Medium Risk</t>
        </is>
      </c>
    </row>
    <row r="78">
      <c r="A78" s="1" t="inlineStr">
        <is>
          <t>USD 500,000 to USD 5,000,000 per month</t>
        </is>
      </c>
      <c r="B78" s="20" t="n">
        <v>3</v>
      </c>
      <c r="C78" s="21" t="inlineStr">
        <is>
          <t>High Risk</t>
        </is>
      </c>
    </row>
    <row r="79">
      <c r="A79" s="17" t="inlineStr">
        <is>
          <t>Over USD 5,000,000 per month</t>
        </is>
      </c>
      <c r="B79" s="22" t="n">
        <v>4</v>
      </c>
      <c r="C79" s="23" t="inlineStr">
        <is>
          <t>Very High Risk</t>
        </is>
      </c>
    </row>
    <row r="80"/>
    <row r="81"/>
    <row r="82"/>
    <row r="83">
      <c r="A83" s="29" t="inlineStr">
        <is>
          <t>3.3  Transaction Complexity &amp; Corridors</t>
        </is>
      </c>
    </row>
    <row r="84">
      <c r="A84" s="1" t="inlineStr">
        <is>
          <t>Simple — single currency, domestic corridors</t>
        </is>
      </c>
      <c r="B84" s="15" t="n">
        <v>1</v>
      </c>
      <c r="C84" s="16" t="inlineStr">
        <is>
          <t>Low Risk</t>
        </is>
      </c>
    </row>
    <row r="85">
      <c r="A85" s="17" t="inlineStr">
        <is>
          <t>Standard — multi-currency, low-risk corridors</t>
        </is>
      </c>
      <c r="B85" s="18" t="n">
        <v>2</v>
      </c>
      <c r="C85" s="19" t="inlineStr">
        <is>
          <t>Medium Risk</t>
        </is>
      </c>
    </row>
    <row r="86">
      <c r="A86" s="1" t="inlineStr">
        <is>
          <t>Complex — multiple international corridors</t>
        </is>
      </c>
      <c r="B86" s="20" t="n">
        <v>3</v>
      </c>
      <c r="C86" s="21" t="inlineStr">
        <is>
          <t>High Risk</t>
        </is>
      </c>
    </row>
    <row r="87">
      <c r="A87" s="17" t="inlineStr">
        <is>
          <t>Very complex — includes high-risk corridors</t>
        </is>
      </c>
      <c r="B87" s="22" t="n">
        <v>4</v>
      </c>
      <c r="C87" s="23" t="inlineStr">
        <is>
          <t>Very High Risk</t>
        </is>
      </c>
    </row>
    <row r="88"/>
    <row r="89"/>
    <row r="90"/>
    <row r="91"/>
    <row r="92">
      <c r="A92" s="29" t="inlineStr">
        <is>
          <t>4.1  Business Sector / Industry</t>
        </is>
      </c>
    </row>
    <row r="93">
      <c r="A93" s="1" t="inlineStr">
        <is>
          <t>Regulated Financial Institution / Bank</t>
        </is>
      </c>
      <c r="B93" s="15" t="n">
        <v>1</v>
      </c>
      <c r="C93" s="16" t="inlineStr">
        <is>
          <t>Low Risk</t>
        </is>
      </c>
    </row>
    <row r="94">
      <c r="A94" s="17" t="inlineStr">
        <is>
          <t>Government / Public Sector</t>
        </is>
      </c>
      <c r="B94" s="15" t="n">
        <v>1</v>
      </c>
      <c r="C94" s="16" t="inlineStr">
        <is>
          <t>Low Risk</t>
        </is>
      </c>
    </row>
    <row r="95">
      <c r="A95" s="1" t="inlineStr">
        <is>
          <t>Listed Company — Main Board</t>
        </is>
      </c>
      <c r="B95" s="15" t="n">
        <v>1</v>
      </c>
      <c r="C95" s="16" t="inlineStr">
        <is>
          <t>Low Risk</t>
        </is>
      </c>
    </row>
    <row r="96">
      <c r="A96" s="17" t="inlineStr">
        <is>
          <t>Healthcare / Pharmaceuticals</t>
        </is>
      </c>
      <c r="B96" s="18" t="n">
        <v>2</v>
      </c>
      <c r="C96" s="19" t="inlineStr">
        <is>
          <t>Medium Risk</t>
        </is>
      </c>
    </row>
    <row r="97">
      <c r="A97" s="1" t="inlineStr">
        <is>
          <t>Technology / Software / SaaS</t>
        </is>
      </c>
      <c r="B97" s="18" t="n">
        <v>2</v>
      </c>
      <c r="C97" s="19" t="inlineStr">
        <is>
          <t>Medium Risk</t>
        </is>
      </c>
    </row>
    <row r="98">
      <c r="A98" s="17" t="inlineStr">
        <is>
          <t>Manufacturing / Industrial</t>
        </is>
      </c>
      <c r="B98" s="18" t="n">
        <v>2</v>
      </c>
      <c r="C98" s="19" t="inlineStr">
        <is>
          <t>Medium Risk</t>
        </is>
      </c>
    </row>
    <row r="99">
      <c r="A99" s="1" t="inlineStr">
        <is>
          <t>Retail / E-commerce</t>
        </is>
      </c>
      <c r="B99" s="18" t="n">
        <v>2</v>
      </c>
      <c r="C99" s="19" t="inlineStr">
        <is>
          <t>Medium Risk</t>
        </is>
      </c>
    </row>
    <row r="100">
      <c r="A100" s="17" t="inlineStr">
        <is>
          <t>Hospitality / Tourism / Travel</t>
        </is>
      </c>
      <c r="B100" s="18" t="n">
        <v>2</v>
      </c>
      <c r="C100" s="19" t="inlineStr">
        <is>
          <t>Medium Risk</t>
        </is>
      </c>
    </row>
    <row r="101">
      <c r="A101" s="1" t="inlineStr">
        <is>
          <t>Logistics / Supply Chain / Shipping</t>
        </is>
      </c>
      <c r="B101" s="18" t="n">
        <v>2</v>
      </c>
      <c r="C101" s="19" t="inlineStr">
        <is>
          <t>Medium Risk</t>
        </is>
      </c>
    </row>
    <row r="102">
      <c r="A102" s="17" t="inlineStr">
        <is>
          <t>Education / Training</t>
        </is>
      </c>
      <c r="B102" s="18" t="n">
        <v>2</v>
      </c>
      <c r="C102" s="19" t="inlineStr">
        <is>
          <t>Medium Risk</t>
        </is>
      </c>
    </row>
    <row r="103">
      <c r="A103" s="1" t="inlineStr">
        <is>
          <t>Media / Entertainment / Publishing</t>
        </is>
      </c>
      <c r="B103" s="18" t="n">
        <v>2</v>
      </c>
      <c r="C103" s="19" t="inlineStr">
        <is>
          <t>Medium Risk</t>
        </is>
      </c>
    </row>
    <row r="104">
      <c r="A104" s="17" t="inlineStr">
        <is>
          <t>Import / Export / International Trade</t>
        </is>
      </c>
      <c r="B104" s="20" t="n">
        <v>3</v>
      </c>
      <c r="C104" s="21" t="inlineStr">
        <is>
          <t>High Risk</t>
        </is>
      </c>
    </row>
    <row r="105">
      <c r="A105" s="1" t="inlineStr">
        <is>
          <t>Real Estate / Property</t>
        </is>
      </c>
      <c r="B105" s="20" t="n">
        <v>3</v>
      </c>
      <c r="C105" s="21" t="inlineStr">
        <is>
          <t>High Risk</t>
        </is>
      </c>
    </row>
    <row r="106">
      <c r="A106" s="17" t="inlineStr">
        <is>
          <t>Legal / Accounting / Advisory Services</t>
        </is>
      </c>
      <c r="B106" s="20" t="n">
        <v>3</v>
      </c>
      <c r="C106" s="21" t="inlineStr">
        <is>
          <t>High Risk</t>
        </is>
      </c>
    </row>
    <row r="107">
      <c r="A107" s="1" t="inlineStr">
        <is>
          <t>Money Service Business (MSB) / Remittance</t>
        </is>
      </c>
      <c r="B107" s="20" t="n">
        <v>3</v>
      </c>
      <c r="C107" s="21" t="inlineStr">
        <is>
          <t>High Risk</t>
        </is>
      </c>
    </row>
    <row r="108">
      <c r="A108" s="17" t="inlineStr">
        <is>
          <t>Forex / CFD / Derivatives Broker</t>
        </is>
      </c>
      <c r="B108" s="20" t="n">
        <v>3</v>
      </c>
      <c r="C108" s="21" t="inlineStr">
        <is>
          <t>High Risk</t>
        </is>
      </c>
    </row>
    <row r="109">
      <c r="A109" s="1" t="inlineStr">
        <is>
          <t>Private Banking / Wealth Management</t>
        </is>
      </c>
      <c r="B109" s="20" t="n">
        <v>3</v>
      </c>
      <c r="C109" s="21" t="inlineStr">
        <is>
          <t>High Risk</t>
        </is>
      </c>
    </row>
    <row r="110">
      <c r="A110" s="17" t="inlineStr">
        <is>
          <t>Precious Metals / Stones / Jewellery</t>
        </is>
      </c>
      <c r="B110" s="20" t="n">
        <v>3</v>
      </c>
      <c r="C110" s="21" t="inlineStr">
        <is>
          <t>High Risk</t>
        </is>
      </c>
    </row>
    <row r="111">
      <c r="A111" s="1" t="inlineStr">
        <is>
          <t>Non-Profit Organisation / NGO / Charity</t>
        </is>
      </c>
      <c r="B111" s="20" t="n">
        <v>3</v>
      </c>
      <c r="C111" s="21" t="inlineStr">
        <is>
          <t>High Risk</t>
        </is>
      </c>
    </row>
    <row r="112">
      <c r="A112" s="17" t="inlineStr">
        <is>
          <t>Oil &amp; Gas / Mining / Extractives</t>
        </is>
      </c>
      <c r="B112" s="20" t="n">
        <v>3</v>
      </c>
      <c r="C112" s="21" t="inlineStr">
        <is>
          <t>High Risk</t>
        </is>
      </c>
    </row>
    <row r="113">
      <c r="A113" s="1" t="inlineStr">
        <is>
          <t>Construction / Infrastructure</t>
        </is>
      </c>
      <c r="B113" s="20" t="n">
        <v>3</v>
      </c>
      <c r="C113" s="21" t="inlineStr">
        <is>
          <t>High Risk</t>
        </is>
      </c>
    </row>
    <row r="114">
      <c r="A114" s="17" t="inlineStr">
        <is>
          <t>Management Consulting</t>
        </is>
      </c>
      <c r="B114" s="20" t="n">
        <v>3</v>
      </c>
      <c r="C114" s="21" t="inlineStr">
        <is>
          <t>High Risk</t>
        </is>
      </c>
    </row>
    <row r="115">
      <c r="A115" s="1" t="inlineStr">
        <is>
          <t>Financial / Tax Advisory</t>
        </is>
      </c>
      <c r="B115" s="20" t="n">
        <v>3</v>
      </c>
      <c r="C115" s="21" t="inlineStr">
        <is>
          <t>High Risk</t>
        </is>
      </c>
    </row>
    <row r="116">
      <c r="A116" s="17" t="inlineStr">
        <is>
          <t>Cryptocurrency / Virtual Asset Services</t>
        </is>
      </c>
      <c r="B116" s="22" t="n">
        <v>4</v>
      </c>
      <c r="C116" s="23" t="inlineStr">
        <is>
          <t>Very High Risk</t>
        </is>
      </c>
    </row>
    <row r="117">
      <c r="A117" s="1" t="inlineStr">
        <is>
          <t>Gambling / Gaming / Betting</t>
        </is>
      </c>
      <c r="B117" s="22" t="n">
        <v>4</v>
      </c>
      <c r="C117" s="23" t="inlineStr">
        <is>
          <t>Very High Risk</t>
        </is>
      </c>
    </row>
    <row r="118">
      <c r="A118" s="17" t="inlineStr">
        <is>
          <t>Arms / Defence / Military Equipment</t>
        </is>
      </c>
      <c r="B118" s="22" t="n">
        <v>4</v>
      </c>
      <c r="C118" s="23" t="inlineStr">
        <is>
          <t>Very High Risk</t>
        </is>
      </c>
    </row>
    <row r="119">
      <c r="A119" s="1" t="inlineStr">
        <is>
          <t>Adult Entertainment</t>
        </is>
      </c>
      <c r="B119" s="22" t="n">
        <v>4</v>
      </c>
      <c r="C119" s="23" t="inlineStr">
        <is>
          <t>Very High Risk</t>
        </is>
      </c>
    </row>
    <row r="120">
      <c r="A120" s="17" t="inlineStr">
        <is>
          <t>Shell Company / Nominee Services</t>
        </is>
      </c>
      <c r="B120" s="22" t="n">
        <v>4</v>
      </c>
      <c r="C120" s="23" t="inlineStr">
        <is>
          <t>Very High Risk</t>
        </is>
      </c>
    </row>
    <row r="121"/>
    <row r="122"/>
    <row r="123"/>
    <row r="124">
      <c r="A124" s="29" t="inlineStr">
        <is>
          <t>5.1  Introduction / Referral Method</t>
        </is>
      </c>
    </row>
    <row r="125">
      <c r="A125" s="1" t="inlineStr">
        <is>
          <t>Direct application — client initiated</t>
        </is>
      </c>
      <c r="B125" s="15" t="n">
        <v>1</v>
      </c>
      <c r="C125" s="16" t="inlineStr">
        <is>
          <t>Low Risk</t>
        </is>
      </c>
    </row>
    <row r="126">
      <c r="A126" s="17" t="inlineStr">
        <is>
          <t>Introduced by regulated intermediary / agent</t>
        </is>
      </c>
      <c r="B126" s="15" t="n">
        <v>1</v>
      </c>
      <c r="C126" s="16" t="inlineStr">
        <is>
          <t>Low Risk</t>
        </is>
      </c>
    </row>
    <row r="127">
      <c r="A127" s="1" t="inlineStr">
        <is>
          <t>Introduced by non-regulated intermediary</t>
        </is>
      </c>
      <c r="B127" s="20" t="n">
        <v>3</v>
      </c>
      <c r="C127" s="21" t="inlineStr">
        <is>
          <t>High Risk</t>
        </is>
      </c>
    </row>
    <row r="128">
      <c r="A128" s="17" t="inlineStr">
        <is>
          <t>Unsolicited / unknown referral source</t>
        </is>
      </c>
      <c r="B128" s="22" t="n">
        <v>4</v>
      </c>
      <c r="C128" s="23" t="inlineStr">
        <is>
          <t>Very High Risk</t>
        </is>
      </c>
    </row>
    <row r="129"/>
    <row r="130"/>
    <row r="131"/>
    <row r="132">
      <c r="A132" s="29" t="inlineStr">
        <is>
          <t>5.2  Customer Interaction Type</t>
        </is>
      </c>
    </row>
    <row r="133">
      <c r="A133" s="1" t="inlineStr">
        <is>
          <t>In-person face-to-face meeting conducted</t>
        </is>
      </c>
      <c r="B133" s="15" t="n">
        <v>1</v>
      </c>
      <c r="C133" s="16" t="inlineStr">
        <is>
          <t>Low Risk</t>
        </is>
      </c>
    </row>
    <row r="134">
      <c r="A134" s="17" t="inlineStr">
        <is>
          <t>Video KYC / video call conducted</t>
        </is>
      </c>
      <c r="B134" s="18" t="n">
        <v>2</v>
      </c>
      <c r="C134" s="19" t="inlineStr">
        <is>
          <t>Medium Risk</t>
        </is>
      </c>
    </row>
    <row r="135">
      <c r="A135" s="1" t="inlineStr">
        <is>
          <t>Non-face-to-face — low-risk jurisdiction</t>
        </is>
      </c>
      <c r="B135" s="18" t="n">
        <v>2</v>
      </c>
      <c r="C135" s="19" t="inlineStr">
        <is>
          <t>Medium Risk</t>
        </is>
      </c>
    </row>
    <row r="136">
      <c r="A136" s="17" t="inlineStr">
        <is>
          <t>Non-face-to-face — high-risk jurisdiction</t>
        </is>
      </c>
      <c r="B136" s="20" t="n">
        <v>3</v>
      </c>
      <c r="C136" s="21" t="inlineStr">
        <is>
          <t>High Risk</t>
        </is>
      </c>
    </row>
    <row r="137"/>
    <row r="138"/>
    <row r="139"/>
    <row r="140">
      <c r="A140" s="29" t="inlineStr">
        <is>
          <t>1.5  Source of Wealth</t>
        </is>
      </c>
    </row>
    <row r="141">
      <c r="A141" s="1" t="inlineStr">
        <is>
          <t>Business revenue / trading profits</t>
        </is>
      </c>
      <c r="B141" s="15" t="n">
        <v>1</v>
      </c>
      <c r="C141" s="16" t="inlineStr">
        <is>
          <t>Low Risk</t>
        </is>
      </c>
    </row>
    <row r="142">
      <c r="A142" s="17" t="inlineStr">
        <is>
          <t>Investment returns / dividends</t>
        </is>
      </c>
      <c r="B142" s="15" t="n">
        <v>1</v>
      </c>
      <c r="C142" s="16" t="inlineStr">
        <is>
          <t>Low Risk</t>
        </is>
      </c>
    </row>
    <row r="143">
      <c r="A143" s="1" t="inlineStr">
        <is>
          <t>Sale of assets / property</t>
        </is>
      </c>
      <c r="B143" s="18" t="n">
        <v>2</v>
      </c>
      <c r="C143" s="19" t="inlineStr">
        <is>
          <t>Medium Risk</t>
        </is>
      </c>
    </row>
    <row r="144">
      <c r="A144" s="17" t="inlineStr">
        <is>
          <t>Venture capital / investor funding</t>
        </is>
      </c>
      <c r="B144" s="18" t="n">
        <v>2</v>
      </c>
      <c r="C144" s="19" t="inlineStr">
        <is>
          <t>Medium Risk</t>
        </is>
      </c>
    </row>
    <row r="145">
      <c r="A145" s="1" t="inlineStr">
        <is>
          <t>Government funding / grants</t>
        </is>
      </c>
      <c r="B145" s="15" t="n">
        <v>1</v>
      </c>
      <c r="C145" s="16" t="inlineStr">
        <is>
          <t>Low Risk</t>
        </is>
      </c>
    </row>
    <row r="146">
      <c r="A146" s="17" t="inlineStr">
        <is>
          <t>Inheritance / family wealth</t>
        </is>
      </c>
      <c r="B146" s="20" t="n">
        <v>3</v>
      </c>
      <c r="C146" s="21" t="inlineStr">
        <is>
          <t>High Risk</t>
        </is>
      </c>
    </row>
    <row r="147">
      <c r="A147" s="1" t="inlineStr">
        <is>
          <t>Loan / credit facility proceeds</t>
        </is>
      </c>
      <c r="B147" s="20" t="n">
        <v>3</v>
      </c>
      <c r="C147" s="21" t="inlineStr">
        <is>
          <t>High Risk</t>
        </is>
      </c>
    </row>
    <row r="148">
      <c r="A148" s="17" t="inlineStr">
        <is>
          <t>Other</t>
        </is>
      </c>
      <c r="B148" s="20" t="n">
        <v>3</v>
      </c>
      <c r="C148" s="21" t="inlineStr">
        <is>
          <t>High Risk</t>
        </is>
      </c>
    </row>
    <row r="149"/>
    <row r="150"/>
    <row r="151">
      <c r="A151" s="29" t="inlineStr">
        <is>
          <t>1.6  Initial Source of Funds</t>
        </is>
      </c>
    </row>
    <row r="152">
      <c r="A152" s="1" t="inlineStr">
        <is>
          <t>Transfer from company bank account</t>
        </is>
      </c>
      <c r="B152" s="15" t="n">
        <v>1</v>
      </c>
      <c r="C152" s="16" t="inlineStr">
        <is>
          <t>Low Risk</t>
        </is>
      </c>
    </row>
    <row r="153">
      <c r="A153" s="17" t="inlineStr">
        <is>
          <t>Parent company / group entity transfer</t>
        </is>
      </c>
      <c r="B153" s="15" t="n">
        <v>1</v>
      </c>
      <c r="C153" s="16" t="inlineStr">
        <is>
          <t>Low Risk</t>
        </is>
      </c>
    </row>
    <row r="154">
      <c r="A154" s="1" t="inlineStr">
        <is>
          <t>Client payments / receivables</t>
        </is>
      </c>
      <c r="B154" s="15" t="n">
        <v>1</v>
      </c>
      <c r="C154" s="16" t="inlineStr">
        <is>
          <t>Low Risk</t>
        </is>
      </c>
    </row>
    <row r="155">
      <c r="A155" s="17" t="inlineStr">
        <is>
          <t>Revenue from business operations</t>
        </is>
      </c>
      <c r="B155" s="15" t="n">
        <v>1</v>
      </c>
      <c r="C155" s="16" t="inlineStr">
        <is>
          <t>Low Risk</t>
        </is>
      </c>
    </row>
    <row r="156">
      <c r="A156" s="1" t="inlineStr">
        <is>
          <t>Shareholder / director capital injection</t>
        </is>
      </c>
      <c r="B156" s="18" t="n">
        <v>2</v>
      </c>
      <c r="C156" s="19" t="inlineStr">
        <is>
          <t>Medium Risk</t>
        </is>
      </c>
    </row>
    <row r="157">
      <c r="A157" s="17" t="inlineStr">
        <is>
          <t>Investment round / fundraise proceeds</t>
        </is>
      </c>
      <c r="B157" s="18" t="n">
        <v>2</v>
      </c>
      <c r="C157" s="19" t="inlineStr">
        <is>
          <t>Medium Risk</t>
        </is>
      </c>
    </row>
    <row r="158">
      <c r="A158" s="1" t="inlineStr">
        <is>
          <t>Loan / credit facility drawdown</t>
        </is>
      </c>
      <c r="B158" s="20" t="n">
        <v>3</v>
      </c>
      <c r="C158" s="21" t="inlineStr">
        <is>
          <t>High Risk</t>
        </is>
      </c>
    </row>
    <row r="159">
      <c r="A159" s="17" t="inlineStr">
        <is>
          <t>Sale of assets / property</t>
        </is>
      </c>
      <c r="B159" s="18" t="n">
        <v>2</v>
      </c>
      <c r="C159" s="19" t="inlineStr">
        <is>
          <t>Medium Risk</t>
        </is>
      </c>
    </row>
    <row r="160">
      <c r="A160" s="1" t="inlineStr">
        <is>
          <t>Other</t>
        </is>
      </c>
      <c r="B160" s="20" t="n">
        <v>3</v>
      </c>
      <c r="C160" s="21" t="inlineStr">
        <is>
          <t>High Risk</t>
        </is>
      </c>
    </row>
    <row r="161"/>
    <row r="162"/>
    <row r="163"/>
    <row r="164">
      <c r="A164" s="29" t="inlineStr">
        <is>
          <t>GEOGRAPHIC RISK ASSESSMENT — SCORING METHODOLOGY</t>
        </is>
      </c>
    </row>
    <row r="165"/>
    <row r="166">
      <c r="A166" s="29" t="inlineStr">
        <is>
          <t>2.4  Countries of Operation — How to Assess</t>
        </is>
      </c>
    </row>
    <row r="167" ht="15" customHeight="1">
      <c r="A167" s="24" t="inlineStr">
        <is>
          <t>All low-risk jurisdictions (Score 1)</t>
        </is>
      </c>
      <c r="B167" s="30" t="inlineStr">
        <is>
          <t>Every country where the entity operates scores 1 (Low Risk) on the Country Risk Reference table.</t>
        </is>
      </c>
    </row>
    <row r="168"/>
    <row r="169" ht="22.25" customHeight="1">
      <c r="A169" s="24" t="inlineStr">
        <is>
          <t>Predominantly low-risk with some medium-risk (Score 2)</t>
        </is>
      </c>
      <c r="B169" s="30" t="inlineStr">
        <is>
          <t>The majority of operating countries score 1 (Low Risk), but one or more countries score 2 (Medium Risk). No country scores 3 or 4.</t>
        </is>
      </c>
    </row>
    <row r="170"/>
    <row r="171" ht="22.25" customHeight="1">
      <c r="A171" s="24" t="inlineStr">
        <is>
          <t>Includes high-risk jurisdictions (Score 3)</t>
        </is>
      </c>
      <c r="B171" s="30" t="inlineStr">
        <is>
          <t>At least one country of operation scores 3 (High Risk) on the Country Risk Reference table — typically a FATF Grey List country. OR more than 30% of operating countries score 2.</t>
        </is>
      </c>
    </row>
    <row r="172"/>
    <row r="173" ht="22.25" customHeight="1">
      <c r="A173" s="24" t="inlineStr">
        <is>
          <t>Predominantly high-risk or sanctioned (Score 4)</t>
        </is>
      </c>
      <c r="B173" s="30" t="inlineStr">
        <is>
          <t>At least one country of operation scores 4 (Very High Risk) — a FATF Black List country, sanctioned jurisdiction, or suspended member.</t>
        </is>
      </c>
    </row>
    <row r="174"/>
    <row r="175"/>
    <row r="176">
      <c r="A176" s="29" t="inlineStr">
        <is>
          <t>2.5  Target Markets / Payment Corridors — How to Assess</t>
        </is>
      </c>
    </row>
    <row r="177" ht="22.25" customHeight="1">
      <c r="A177" s="24" t="inlineStr">
        <is>
          <t>Developed markets only (Score 1)</t>
        </is>
      </c>
      <c r="B177" s="30" t="inlineStr">
        <is>
          <t>All target payment corridors involve countries classified as developed economies with mature financial regulatory frameworks.</t>
        </is>
      </c>
    </row>
    <row r="178"/>
    <row r="179" ht="22.25" customHeight="1">
      <c r="A179" s="24" t="inlineStr">
        <is>
          <t>Mix of developed and emerging markets (Score 2)</t>
        </is>
      </c>
      <c r="B179" s="30" t="inlineStr">
        <is>
          <t>Payment corridors include both developed markets (score 1) and emerging markets scoring 2. No corridors involve Grey List, Black List, or sanctioned jurisdictions.</t>
        </is>
      </c>
    </row>
    <row r="180"/>
    <row r="181" ht="22.25" customHeight="1">
      <c r="A181" s="24" t="inlineStr">
        <is>
          <t>Predominantly emerging / frontier markets (Score 3)</t>
        </is>
      </c>
      <c r="B181" s="30" t="inlineStr">
        <is>
          <t>The majority of payment corridors involve emerging or frontier markets, including countries scoring 2 or 3. May include FATF Grey List jurisdictions.</t>
        </is>
      </c>
    </row>
    <row r="182"/>
    <row r="183" ht="15" customHeight="1">
      <c r="A183" s="24" t="inlineStr">
        <is>
          <t>Includes sanctioned or very high-risk markets (Score 4)</t>
        </is>
      </c>
      <c r="B183" s="30" t="inlineStr">
        <is>
          <t>At least one payment corridor involves a country scoring 4 (Very High Risk) on the Country Risk Reference table.</t>
        </is>
      </c>
    </row>
    <row r="184"/>
    <row r="185"/>
    <row r="186">
      <c r="A186" s="29" t="inlineStr">
        <is>
          <t>GENERAL PRINCIPLE</t>
        </is>
      </c>
    </row>
    <row r="187" ht="22.25" customHeight="1">
      <c r="A187" s="30" t="inlineStr">
        <is>
          <t>The 'highest risk dominates' rule applies: a single high-risk or sanctioned jurisdiction contaminates the overall geographic risk profile. When in doubt, assess conservatively (higher score). Use the Country Risk Reference sheet to look up individual country scores.</t>
        </is>
      </c>
    </row>
    <row r="188"/>
    <row r="189">
      <c r="A189" s="29" t="inlineStr">
        <is>
          <t>ADVERSE MEDIA / NEGATIVE NEWS — SCORING DEFINITIONS</t>
        </is>
      </c>
    </row>
    <row r="190"/>
    <row r="191">
      <c r="A191" s="24" t="inlineStr">
        <is>
          <t>No adverse media identified (Score 1 — Low Risk)</t>
        </is>
      </c>
    </row>
    <row r="192"/>
    <row r="193"/>
    <row r="194">
      <c r="A194" s="24" t="inlineStr">
        <is>
          <t>Minor or unsubstantiated reports (Score 2 — Medium Risk)</t>
        </is>
      </c>
    </row>
    <row r="195" ht="15" customHeight="1">
      <c r="B195" s="30" t="inlineStr">
        <is>
          <t>Adverse media exists but is minor in nature or cannot be substantiated through official sources.</t>
        </is>
      </c>
    </row>
    <row r="196"/>
    <row r="197">
      <c r="A197" s="24" t="inlineStr">
        <is>
          <t>Confirmed adverse media / regulatory action (Score 4 — Very High Risk)</t>
        </is>
      </c>
    </row>
    <row r="198" ht="22.25" customHeight="1">
      <c r="B198" s="30" t="inlineStr">
        <is>
          <t>Confirmed adverse media, regulatory action, or law enforcement involvement against the entity, its directors, UBOs, or closely connected parties.</t>
        </is>
      </c>
    </row>
    <row r="199"/>
    <row r="200"/>
    <row r="201"/>
    <row r="202"/>
    <row r="203">
      <c r="A203" s="29" t="inlineStr">
        <is>
          <t>2.2  UBO Nationalities</t>
        </is>
      </c>
    </row>
    <row r="204" ht="22.25" customHeight="1">
      <c r="A204" s="30" t="inlineStr">
        <is>
          <t>Assessment: Evaluate the nationalities of all UBOs and directors. Use the Country Risk Reference sheet to map each nationality to its corresponding country risk score. Apply the highest-risk-dominates rule.</t>
        </is>
      </c>
    </row>
    <row r="205">
      <c r="A205" s="1" t="inlineStr">
        <is>
          <t>All UBOs/directors from low-risk jurisdictions</t>
        </is>
      </c>
      <c r="B205" s="15" t="n">
        <v>1</v>
      </c>
      <c r="C205" s="16" t="inlineStr">
        <is>
          <t>Low Risk</t>
        </is>
      </c>
    </row>
    <row r="206">
      <c r="A206" s="17" t="inlineStr">
        <is>
          <t>Mix of low-risk and standard/emerging nationalities</t>
        </is>
      </c>
      <c r="B206" s="18" t="n">
        <v>2</v>
      </c>
      <c r="C206" s="19" t="inlineStr">
        <is>
          <t>Medium Risk</t>
        </is>
      </c>
    </row>
    <row r="207">
      <c r="A207" s="1" t="inlineStr">
        <is>
          <t>Includes FATF Grey List / high-risk nationalities</t>
        </is>
      </c>
      <c r="B207" s="20" t="n">
        <v>3</v>
      </c>
      <c r="C207" s="21" t="inlineStr">
        <is>
          <t>High Risk</t>
        </is>
      </c>
    </row>
    <row r="208">
      <c r="A208" s="17" t="inlineStr">
        <is>
          <t>Includes sanctioned / blacklisted nationalities</t>
        </is>
      </c>
      <c r="B208" s="22" t="n">
        <v>4</v>
      </c>
      <c r="C208" s="23" t="inlineStr">
        <is>
          <t>Very High Risk</t>
        </is>
      </c>
    </row>
    <row r="209">
      <c r="A209" s="41" t="inlineStr">
        <is>
          <t>⚠ FLOOR RULE: Any UBO/Director with sanctioned nationality forces overall risk to VERY HIGH (v1.6)</t>
        </is>
      </c>
    </row>
    <row r="210"/>
    <row r="211">
      <c r="A211" s="29" t="inlineStr">
        <is>
          <t>2.3  Intermediary Shareholder Jurisdictions</t>
        </is>
      </c>
    </row>
    <row r="212" ht="22.25" customHeight="1">
      <c r="A212" s="30" t="inlineStr">
        <is>
          <t>Assessment: Evaluate jurisdictions of all intermediary shareholders, holding companies, and nominee structures in the ownership chain. Secrecy jurisdictions (BVI, Panama, Cayman Islands, Seychelles, Bermuda, Jersey, Guernsey, Isle of Man, Liechtenstein, Vanuatu, Samoa, Marshall Islands) score 4.</t>
        </is>
      </c>
    </row>
    <row r="213">
      <c r="A213" s="1" t="inlineStr">
        <is>
          <t>No intermediaries or all low-risk jurisdictions</t>
        </is>
      </c>
      <c r="B213" s="15" t="n">
        <v>1</v>
      </c>
      <c r="C213" s="16" t="inlineStr">
        <is>
          <t>Low Risk</t>
        </is>
      </c>
    </row>
    <row r="214">
      <c r="A214" s="17" t="inlineStr">
        <is>
          <t>Intermediaries in standard / emerging jurisdictions</t>
        </is>
      </c>
      <c r="B214" s="18" t="n">
        <v>2</v>
      </c>
      <c r="C214" s="19" t="inlineStr">
        <is>
          <t>Medium Risk</t>
        </is>
      </c>
    </row>
    <row r="215">
      <c r="A215" s="1" t="inlineStr">
        <is>
          <t>Includes FATF Grey List / opaque jurisdictions</t>
        </is>
      </c>
      <c r="B215" s="20" t="n">
        <v>3</v>
      </c>
      <c r="C215" s="21" t="inlineStr">
        <is>
          <t>High Risk</t>
        </is>
      </c>
    </row>
    <row r="216">
      <c r="A216" s="17" t="inlineStr">
        <is>
          <t>Includes sanctioned / secrecy jurisdictions</t>
        </is>
      </c>
      <c r="B216" s="22" t="n">
        <v>4</v>
      </c>
      <c r="C216" s="23" t="inlineStr">
        <is>
          <t>Very High Risk</t>
        </is>
      </c>
    </row>
  </sheetData>
  <mergeCells count="36">
    <mergeCell ref="A164:C164"/>
    <mergeCell ref="A75:C75"/>
    <mergeCell ref="B179:D179"/>
    <mergeCell ref="B181:D181"/>
    <mergeCell ref="A189:C189"/>
    <mergeCell ref="A18:C18"/>
    <mergeCell ref="A50:C50"/>
    <mergeCell ref="B171:D171"/>
    <mergeCell ref="A26:C26"/>
    <mergeCell ref="A2:C2"/>
    <mergeCell ref="A42:C42"/>
    <mergeCell ref="A151:C151"/>
    <mergeCell ref="A203:C203"/>
    <mergeCell ref="B183:D183"/>
    <mergeCell ref="A140:C140"/>
    <mergeCell ref="B177:D177"/>
    <mergeCell ref="B198:D198"/>
    <mergeCell ref="B169:D169"/>
    <mergeCell ref="A58:C58"/>
    <mergeCell ref="A187:D187"/>
    <mergeCell ref="A211:C211"/>
    <mergeCell ref="B173:D173"/>
    <mergeCell ref="A67:C67"/>
    <mergeCell ref="A176:C176"/>
    <mergeCell ref="A212:D212"/>
    <mergeCell ref="A92:C92"/>
    <mergeCell ref="A83:C83"/>
    <mergeCell ref="A186:C186"/>
    <mergeCell ref="A166:C166"/>
    <mergeCell ref="A34:C34"/>
    <mergeCell ref="A132:C132"/>
    <mergeCell ref="A1:C1"/>
    <mergeCell ref="B167:D167"/>
    <mergeCell ref="A124:C124"/>
    <mergeCell ref="A204:D204"/>
    <mergeCell ref="B195:D195"/>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82"/>
  <sheetViews>
    <sheetView zoomScaleNormal="100" workbookViewId="0">
      <selection activeCell="A1" sqref="A1:G1"/>
    </sheetView>
  </sheetViews>
  <sheetFormatPr baseColWidth="10" defaultColWidth="8.6640625" defaultRowHeight="15" customHeight="1"/>
  <cols>
    <col width="28" customWidth="1" min="1" max="1"/>
    <col width="16" customWidth="1" min="2" max="2"/>
    <col width="14" customWidth="1" min="3" max="4"/>
    <col width="12" customWidth="1" min="5" max="5"/>
    <col width="16" customWidth="1" min="6" max="6"/>
    <col width="50" customWidth="1" min="7" max="7"/>
  </cols>
  <sheetData>
    <row r="1">
      <c r="A1" s="28" t="inlineStr">
        <is>
          <t>ARIE FINANCE LTD — COUNTRY RISK REFERENCE TABLE</t>
        </is>
      </c>
    </row>
    <row r="2">
      <c r="A2" s="25" t="inlineStr">
        <is>
          <t>COUNTRY</t>
        </is>
      </c>
      <c r="B2" s="25" t="inlineStr">
        <is>
          <t>REGION</t>
        </is>
      </c>
      <c r="C2" s="25" t="inlineStr">
        <is>
          <t>FATF MEMBER</t>
        </is>
      </c>
      <c r="D2" s="25" t="inlineStr">
        <is>
          <t>FATF STATUS</t>
        </is>
      </c>
      <c r="E2" s="25" t="inlineStr">
        <is>
          <t>RISK SCORE</t>
        </is>
      </c>
      <c r="F2" s="25" t="inlineStr">
        <is>
          <t>RISK CATEGORY</t>
        </is>
      </c>
      <c r="G2" s="25" t="inlineStr">
        <is>
          <t>NOTES</t>
        </is>
      </c>
    </row>
    <row r="3">
      <c r="A3" s="1" t="inlineStr">
        <is>
          <t>Australia</t>
        </is>
      </c>
      <c r="B3" s="26" t="inlineStr">
        <is>
          <t>Asia-Pacific</t>
        </is>
      </c>
      <c r="C3" s="26" t="inlineStr">
        <is>
          <t>Yes</t>
        </is>
      </c>
      <c r="D3" s="26" t="inlineStr">
        <is>
          <t>Clear</t>
        </is>
      </c>
      <c r="E3" s="15" t="n">
        <v>1</v>
      </c>
      <c r="F3" s="16" t="inlineStr">
        <is>
          <t>Low Risk</t>
        </is>
      </c>
      <c r="G3" s="1" t="inlineStr">
        <is>
          <t>FATF member; strong AML framework</t>
        </is>
      </c>
    </row>
    <row r="4">
      <c r="A4" s="17" t="inlineStr">
        <is>
          <t>Canada</t>
        </is>
      </c>
      <c r="B4" s="27" t="inlineStr">
        <is>
          <t>Americas</t>
        </is>
      </c>
      <c r="C4" s="27" t="inlineStr">
        <is>
          <t>Yes</t>
        </is>
      </c>
      <c r="D4" s="27" t="inlineStr">
        <is>
          <t>Clear</t>
        </is>
      </c>
      <c r="E4" s="15" t="n">
        <v>1</v>
      </c>
      <c r="F4" s="16" t="inlineStr">
        <is>
          <t>Low Risk</t>
        </is>
      </c>
      <c r="G4" s="17" t="inlineStr">
        <is>
          <t>FATF member; strong AML framework</t>
        </is>
      </c>
    </row>
    <row r="5">
      <c r="A5" s="1" t="inlineStr">
        <is>
          <t>France</t>
        </is>
      </c>
      <c r="B5" s="26" t="inlineStr">
        <is>
          <t>Europe</t>
        </is>
      </c>
      <c r="C5" s="26" t="inlineStr">
        <is>
          <t>Yes</t>
        </is>
      </c>
      <c r="D5" s="26" t="inlineStr">
        <is>
          <t>Clear</t>
        </is>
      </c>
      <c r="E5" s="15" t="n">
        <v>1</v>
      </c>
      <c r="F5" s="16" t="inlineStr">
        <is>
          <t>Low Risk</t>
        </is>
      </c>
      <c r="G5" s="1" t="inlineStr">
        <is>
          <t>FATF founding member</t>
        </is>
      </c>
    </row>
    <row r="6">
      <c r="A6" s="17" t="inlineStr">
        <is>
          <t>Germany</t>
        </is>
      </c>
      <c r="B6" s="27" t="inlineStr">
        <is>
          <t>Europe</t>
        </is>
      </c>
      <c r="C6" s="27" t="inlineStr">
        <is>
          <t>Yes</t>
        </is>
      </c>
      <c r="D6" s="27" t="inlineStr">
        <is>
          <t>Clear</t>
        </is>
      </c>
      <c r="E6" s="15" t="n">
        <v>1</v>
      </c>
      <c r="F6" s="16" t="inlineStr">
        <is>
          <t>Low Risk</t>
        </is>
      </c>
      <c r="G6" s="17" t="inlineStr">
        <is>
          <t>FATF founding member</t>
        </is>
      </c>
    </row>
    <row r="7">
      <c r="A7" s="1" t="inlineStr">
        <is>
          <t>Hong Kong SAR</t>
        </is>
      </c>
      <c r="B7" s="26" t="inlineStr">
        <is>
          <t>Asia-Pacific</t>
        </is>
      </c>
      <c r="C7" s="26" t="inlineStr">
        <is>
          <t>Yes</t>
        </is>
      </c>
      <c r="D7" s="26" t="inlineStr">
        <is>
          <t>Clear</t>
        </is>
      </c>
      <c r="E7" s="15" t="n">
        <v>1</v>
      </c>
      <c r="F7" s="16" t="inlineStr">
        <is>
          <t>Low Risk</t>
        </is>
      </c>
      <c r="G7" s="1" t="inlineStr">
        <is>
          <t>Strong regulatory framework</t>
        </is>
      </c>
    </row>
    <row r="8">
      <c r="A8" s="17" t="inlineStr">
        <is>
          <t>Ireland</t>
        </is>
      </c>
      <c r="B8" s="27" t="inlineStr">
        <is>
          <t>Europe</t>
        </is>
      </c>
      <c r="C8" s="27" t="inlineStr">
        <is>
          <t>Yes</t>
        </is>
      </c>
      <c r="D8" s="27" t="inlineStr">
        <is>
          <t>Clear</t>
        </is>
      </c>
      <c r="E8" s="15" t="n">
        <v>1</v>
      </c>
      <c r="F8" s="16" t="inlineStr">
        <is>
          <t>Low Risk</t>
        </is>
      </c>
      <c r="G8" s="17" t="inlineStr">
        <is>
          <t>EU member; robust AML laws</t>
        </is>
      </c>
    </row>
    <row r="9">
      <c r="A9" s="1" t="inlineStr">
        <is>
          <t>Japan</t>
        </is>
      </c>
      <c r="B9" s="26" t="inlineStr">
        <is>
          <t>Asia-Pacific</t>
        </is>
      </c>
      <c r="C9" s="26" t="inlineStr">
        <is>
          <t>Yes</t>
        </is>
      </c>
      <c r="D9" s="26" t="inlineStr">
        <is>
          <t>Clear</t>
        </is>
      </c>
      <c r="E9" s="15" t="n">
        <v>1</v>
      </c>
      <c r="F9" s="16" t="inlineStr">
        <is>
          <t>Low Risk</t>
        </is>
      </c>
      <c r="G9" s="1" t="inlineStr">
        <is>
          <t>FATF member; strong controls</t>
        </is>
      </c>
    </row>
    <row r="10">
      <c r="A10" s="17" t="inlineStr">
        <is>
          <t>Luxembourg</t>
        </is>
      </c>
      <c r="B10" s="27" t="inlineStr">
        <is>
          <t>Europe</t>
        </is>
      </c>
      <c r="C10" s="27" t="inlineStr">
        <is>
          <t>Yes</t>
        </is>
      </c>
      <c r="D10" s="27" t="inlineStr">
        <is>
          <t>Clear</t>
        </is>
      </c>
      <c r="E10" s="15" t="n">
        <v>1</v>
      </c>
      <c r="F10" s="16" t="inlineStr">
        <is>
          <t>Low Risk</t>
        </is>
      </c>
      <c r="G10" s="17" t="inlineStr">
        <is>
          <t>EU financial centre</t>
        </is>
      </c>
    </row>
    <row r="11">
      <c r="A11" s="1" t="inlineStr">
        <is>
          <t>Netherlands</t>
        </is>
      </c>
      <c r="B11" s="26" t="inlineStr">
        <is>
          <t>Europe</t>
        </is>
      </c>
      <c r="C11" s="26" t="inlineStr">
        <is>
          <t>Yes</t>
        </is>
      </c>
      <c r="D11" s="26" t="inlineStr">
        <is>
          <t>Clear</t>
        </is>
      </c>
      <c r="E11" s="15" t="n">
        <v>1</v>
      </c>
      <c r="F11" s="16" t="inlineStr">
        <is>
          <t>Low Risk</t>
        </is>
      </c>
      <c r="G11" s="1" t="inlineStr">
        <is>
          <t>FATF founding member</t>
        </is>
      </c>
    </row>
    <row r="12">
      <c r="A12" s="17" t="inlineStr">
        <is>
          <t>New Zealand</t>
        </is>
      </c>
      <c r="B12" s="27" t="inlineStr">
        <is>
          <t>Asia-Pacific</t>
        </is>
      </c>
      <c r="C12" s="27" t="inlineStr">
        <is>
          <t>Yes</t>
        </is>
      </c>
      <c r="D12" s="27" t="inlineStr">
        <is>
          <t>Clear</t>
        </is>
      </c>
      <c r="E12" s="15" t="n">
        <v>1</v>
      </c>
      <c r="F12" s="16" t="inlineStr">
        <is>
          <t>Low Risk</t>
        </is>
      </c>
      <c r="G12" s="17" t="inlineStr">
        <is>
          <t>Strong AML/CFT framework</t>
        </is>
      </c>
    </row>
    <row r="13">
      <c r="A13" s="1" t="inlineStr">
        <is>
          <t>Singapore</t>
        </is>
      </c>
      <c r="B13" s="26" t="inlineStr">
        <is>
          <t>Asia-Pacific</t>
        </is>
      </c>
      <c r="C13" s="26" t="inlineStr">
        <is>
          <t>Yes</t>
        </is>
      </c>
      <c r="D13" s="26" t="inlineStr">
        <is>
          <t>Clear</t>
        </is>
      </c>
      <c r="E13" s="15" t="n">
        <v>1</v>
      </c>
      <c r="F13" s="16" t="inlineStr">
        <is>
          <t>Low Risk</t>
        </is>
      </c>
      <c r="G13" s="1" t="inlineStr">
        <is>
          <t>MAS-regulated; highly compliant</t>
        </is>
      </c>
    </row>
    <row r="14">
      <c r="A14" s="17" t="inlineStr">
        <is>
          <t>Switzerland</t>
        </is>
      </c>
      <c r="B14" s="27" t="inlineStr">
        <is>
          <t>Europe</t>
        </is>
      </c>
      <c r="C14" s="27" t="inlineStr">
        <is>
          <t>Yes</t>
        </is>
      </c>
      <c r="D14" s="27" t="inlineStr">
        <is>
          <t>Clear</t>
        </is>
      </c>
      <c r="E14" s="15" t="n">
        <v>1</v>
      </c>
      <c r="F14" s="16" t="inlineStr">
        <is>
          <t>Low Risk</t>
        </is>
      </c>
      <c r="G14" s="17" t="inlineStr">
        <is>
          <t>Strong FINMA-regulated framework</t>
        </is>
      </c>
    </row>
    <row r="15">
      <c r="A15" s="1" t="inlineStr">
        <is>
          <t>United Kingdom</t>
        </is>
      </c>
      <c r="B15" s="26" t="inlineStr">
        <is>
          <t>Europe</t>
        </is>
      </c>
      <c r="C15" s="26" t="inlineStr">
        <is>
          <t>Yes</t>
        </is>
      </c>
      <c r="D15" s="26" t="inlineStr">
        <is>
          <t>Clear</t>
        </is>
      </c>
      <c r="E15" s="15" t="n">
        <v>1</v>
      </c>
      <c r="F15" s="16" t="inlineStr">
        <is>
          <t>Low Risk</t>
        </is>
      </c>
      <c r="G15" s="1" t="inlineStr">
        <is>
          <t>FCA regulated; FATF member</t>
        </is>
      </c>
    </row>
    <row r="16">
      <c r="A16" s="17" t="inlineStr">
        <is>
          <t>United States</t>
        </is>
      </c>
      <c r="B16" s="27" t="inlineStr">
        <is>
          <t>Americas</t>
        </is>
      </c>
      <c r="C16" s="27" t="inlineStr">
        <is>
          <t>Yes</t>
        </is>
      </c>
      <c r="D16" s="27" t="inlineStr">
        <is>
          <t>Clear</t>
        </is>
      </c>
      <c r="E16" s="15" t="n">
        <v>1</v>
      </c>
      <c r="F16" s="16" t="inlineStr">
        <is>
          <t>Low Risk</t>
        </is>
      </c>
      <c r="G16" s="17" t="inlineStr">
        <is>
          <t>FATF founding member; FinCEN oversight</t>
        </is>
      </c>
    </row>
    <row r="17">
      <c r="A17" s="1" t="inlineStr">
        <is>
          <t>Austria</t>
        </is>
      </c>
      <c r="B17" s="26" t="inlineStr">
        <is>
          <t>Europe</t>
        </is>
      </c>
      <c r="C17" s="26" t="inlineStr">
        <is>
          <t>Yes</t>
        </is>
      </c>
      <c r="D17" s="26" t="inlineStr">
        <is>
          <t>Clear</t>
        </is>
      </c>
      <c r="E17" s="15" t="n">
        <v>1</v>
      </c>
      <c r="F17" s="16" t="inlineStr">
        <is>
          <t>Low Risk</t>
        </is>
      </c>
      <c r="G17" s="1" t="inlineStr">
        <is>
          <t>EU member; strong AML</t>
        </is>
      </c>
    </row>
    <row r="18">
      <c r="A18" s="17" t="inlineStr">
        <is>
          <t>Belgium</t>
        </is>
      </c>
      <c r="B18" s="27" t="inlineStr">
        <is>
          <t>Europe</t>
        </is>
      </c>
      <c r="C18" s="27" t="inlineStr">
        <is>
          <t>Yes</t>
        </is>
      </c>
      <c r="D18" s="27" t="inlineStr">
        <is>
          <t>Clear</t>
        </is>
      </c>
      <c r="E18" s="15" t="n">
        <v>1</v>
      </c>
      <c r="F18" s="16" t="inlineStr">
        <is>
          <t>Low Risk</t>
        </is>
      </c>
      <c r="G18" s="17" t="inlineStr">
        <is>
          <t>EU member</t>
        </is>
      </c>
    </row>
    <row r="19">
      <c r="A19" s="1" t="inlineStr">
        <is>
          <t>Denmark</t>
        </is>
      </c>
      <c r="B19" s="26" t="inlineStr">
        <is>
          <t>Europe</t>
        </is>
      </c>
      <c r="C19" s="26" t="inlineStr">
        <is>
          <t>Yes</t>
        </is>
      </c>
      <c r="D19" s="26" t="inlineStr">
        <is>
          <t>Clear</t>
        </is>
      </c>
      <c r="E19" s="15" t="n">
        <v>1</v>
      </c>
      <c r="F19" s="16" t="inlineStr">
        <is>
          <t>Low Risk</t>
        </is>
      </c>
      <c r="G19" s="1" t="inlineStr">
        <is>
          <t>Strong compliance culture</t>
        </is>
      </c>
    </row>
    <row r="20">
      <c r="A20" s="17" t="inlineStr">
        <is>
          <t>Finland</t>
        </is>
      </c>
      <c r="B20" s="27" t="inlineStr">
        <is>
          <t>Europe</t>
        </is>
      </c>
      <c r="C20" s="27" t="inlineStr">
        <is>
          <t>Yes</t>
        </is>
      </c>
      <c r="D20" s="27" t="inlineStr">
        <is>
          <t>Clear</t>
        </is>
      </c>
      <c r="E20" s="15" t="n">
        <v>1</v>
      </c>
      <c r="F20" s="16" t="inlineStr">
        <is>
          <t>Low Risk</t>
        </is>
      </c>
      <c r="G20" s="17" t="inlineStr">
        <is>
          <t>Strong compliance culture</t>
        </is>
      </c>
    </row>
    <row r="21">
      <c r="A21" s="1" t="inlineStr">
        <is>
          <t>Norway</t>
        </is>
      </c>
      <c r="B21" s="26" t="inlineStr">
        <is>
          <t>Europe</t>
        </is>
      </c>
      <c r="C21" s="26" t="inlineStr">
        <is>
          <t>Yes</t>
        </is>
      </c>
      <c r="D21" s="26" t="inlineStr">
        <is>
          <t>Clear</t>
        </is>
      </c>
      <c r="E21" s="15" t="n">
        <v>1</v>
      </c>
      <c r="F21" s="16" t="inlineStr">
        <is>
          <t>Low Risk</t>
        </is>
      </c>
      <c r="G21" s="1" t="inlineStr">
        <is>
          <t>Strong compliance culture</t>
        </is>
      </c>
    </row>
    <row r="22">
      <c r="A22" s="17" t="inlineStr">
        <is>
          <t>Sweden</t>
        </is>
      </c>
      <c r="B22" s="27" t="inlineStr">
        <is>
          <t>Europe</t>
        </is>
      </c>
      <c r="C22" s="27" t="inlineStr">
        <is>
          <t>Yes</t>
        </is>
      </c>
      <c r="D22" s="27" t="inlineStr">
        <is>
          <t>Clear</t>
        </is>
      </c>
      <c r="E22" s="15" t="n">
        <v>1</v>
      </c>
      <c r="F22" s="16" t="inlineStr">
        <is>
          <t>Low Risk</t>
        </is>
      </c>
      <c r="G22" s="17" t="inlineStr">
        <is>
          <t>Strong compliance culture</t>
        </is>
      </c>
    </row>
    <row r="23">
      <c r="A23" s="1" t="inlineStr">
        <is>
          <t>South Korea</t>
        </is>
      </c>
      <c r="B23" s="26" t="inlineStr">
        <is>
          <t>Asia-Pacific</t>
        </is>
      </c>
      <c r="C23" s="26" t="inlineStr">
        <is>
          <t>Yes</t>
        </is>
      </c>
      <c r="D23" s="26" t="inlineStr">
        <is>
          <t>Clear</t>
        </is>
      </c>
      <c r="E23" s="15" t="n">
        <v>1</v>
      </c>
      <c r="F23" s="16" t="inlineStr">
        <is>
          <t>Low Risk</t>
        </is>
      </c>
      <c r="G23" s="1" t="inlineStr">
        <is>
          <t>FATF member; strong framework</t>
        </is>
      </c>
    </row>
    <row r="24">
      <c r="A24" s="17" t="inlineStr">
        <is>
          <t>Israel</t>
        </is>
      </c>
      <c r="B24" s="27" t="inlineStr">
        <is>
          <t>Middle East</t>
        </is>
      </c>
      <c r="C24" s="27" t="inlineStr">
        <is>
          <t>Yes</t>
        </is>
      </c>
      <c r="D24" s="27" t="inlineStr">
        <is>
          <t>Clear</t>
        </is>
      </c>
      <c r="E24" s="15" t="n">
        <v>1</v>
      </c>
      <c r="F24" s="16" t="inlineStr">
        <is>
          <t>Low Risk</t>
        </is>
      </c>
      <c r="G24" s="17" t="inlineStr">
        <is>
          <t>FATF member</t>
        </is>
      </c>
    </row>
    <row r="25">
      <c r="A25" s="1" t="inlineStr">
        <is>
          <t>Bahrain</t>
        </is>
      </c>
      <c r="B25" s="26" t="inlineStr">
        <is>
          <t>Middle East</t>
        </is>
      </c>
      <c r="C25" s="26" t="inlineStr">
        <is>
          <t>Yes</t>
        </is>
      </c>
      <c r="D25" s="26" t="inlineStr">
        <is>
          <t>Clear</t>
        </is>
      </c>
      <c r="E25" s="18" t="n">
        <v>2</v>
      </c>
      <c r="F25" s="19" t="inlineStr">
        <is>
          <t>Medium Risk</t>
        </is>
      </c>
      <c r="G25" s="1" t="inlineStr">
        <is>
          <t>CBB regulated; growing compliance</t>
        </is>
      </c>
    </row>
    <row r="26">
      <c r="A26" s="17" t="inlineStr">
        <is>
          <t>Botswana</t>
        </is>
      </c>
      <c r="B26" s="27" t="inlineStr">
        <is>
          <t>Africa</t>
        </is>
      </c>
      <c r="C26" s="27" t="inlineStr">
        <is>
          <t>Yes</t>
        </is>
      </c>
      <c r="D26" s="27" t="inlineStr">
        <is>
          <t>Clear</t>
        </is>
      </c>
      <c r="E26" s="18" t="n">
        <v>2</v>
      </c>
      <c r="F26" s="19" t="inlineStr">
        <is>
          <t>Medium Risk</t>
        </is>
      </c>
      <c r="G26" s="17" t="inlineStr">
        <is>
          <t>Stable; FATF-compliant</t>
        </is>
      </c>
    </row>
    <row r="27">
      <c r="A27" s="1" t="inlineStr">
        <is>
          <t>Brazil</t>
        </is>
      </c>
      <c r="B27" s="26" t="inlineStr">
        <is>
          <t>Americas</t>
        </is>
      </c>
      <c r="C27" s="26" t="inlineStr">
        <is>
          <t>Yes</t>
        </is>
      </c>
      <c r="D27" s="26" t="inlineStr">
        <is>
          <t>Clear</t>
        </is>
      </c>
      <c r="E27" s="18" t="n">
        <v>2</v>
      </c>
      <c r="F27" s="19" t="inlineStr">
        <is>
          <t>Medium Risk</t>
        </is>
      </c>
      <c r="G27" s="1" t="inlineStr">
        <is>
          <t>FATF member; large emerging market</t>
        </is>
      </c>
    </row>
    <row r="28">
      <c r="A28" s="17" t="inlineStr">
        <is>
          <t>Chile</t>
        </is>
      </c>
      <c r="B28" s="27" t="inlineStr">
        <is>
          <t>Americas</t>
        </is>
      </c>
      <c r="C28" s="27" t="inlineStr">
        <is>
          <t>Yes</t>
        </is>
      </c>
      <c r="D28" s="27" t="inlineStr">
        <is>
          <t>Clear</t>
        </is>
      </c>
      <c r="E28" s="18" t="n">
        <v>2</v>
      </c>
      <c r="F28" s="19" t="inlineStr">
        <is>
          <t>Medium Risk</t>
        </is>
      </c>
      <c r="G28" s="17" t="inlineStr">
        <is>
          <t>FATF member; stable economy</t>
        </is>
      </c>
    </row>
    <row r="29">
      <c r="A29" s="1" t="inlineStr">
        <is>
          <t>China</t>
        </is>
      </c>
      <c r="B29" s="26" t="inlineStr">
        <is>
          <t>Asia-Pacific</t>
        </is>
      </c>
      <c r="C29" s="26" t="inlineStr">
        <is>
          <t>Yes</t>
        </is>
      </c>
      <c r="D29" s="26" t="inlineStr">
        <is>
          <t>Clear</t>
        </is>
      </c>
      <c r="E29" s="18" t="n">
        <v>2</v>
      </c>
      <c r="F29" s="19" t="inlineStr">
        <is>
          <t>Medium Risk</t>
        </is>
      </c>
      <c r="G29" s="1" t="inlineStr">
        <is>
          <t>FATF member; enhanced monitoring advised</t>
        </is>
      </c>
    </row>
    <row r="30">
      <c r="A30" s="17" t="inlineStr">
        <is>
          <t>India</t>
        </is>
      </c>
      <c r="B30" s="27" t="inlineStr">
        <is>
          <t>Asia-Pacific</t>
        </is>
      </c>
      <c r="C30" s="27" t="inlineStr">
        <is>
          <t>Yes</t>
        </is>
      </c>
      <c r="D30" s="27" t="inlineStr">
        <is>
          <t>Clear</t>
        </is>
      </c>
      <c r="E30" s="18" t="n">
        <v>2</v>
      </c>
      <c r="F30" s="19" t="inlineStr">
        <is>
          <t>Medium Risk</t>
        </is>
      </c>
      <c r="G30" s="17" t="inlineStr">
        <is>
          <t>FATF member; improving AML regime</t>
        </is>
      </c>
    </row>
    <row r="31">
      <c r="A31" s="1" t="inlineStr">
        <is>
          <t>Indonesia</t>
        </is>
      </c>
      <c r="B31" s="26" t="inlineStr">
        <is>
          <t>Asia-Pacific</t>
        </is>
      </c>
      <c r="C31" s="26" t="inlineStr">
        <is>
          <t>Yes</t>
        </is>
      </c>
      <c r="D31" s="26" t="inlineStr">
        <is>
          <t>Clear</t>
        </is>
      </c>
      <c r="E31" s="18" t="n">
        <v>2</v>
      </c>
      <c r="F31" s="19" t="inlineStr">
        <is>
          <t>Medium Risk</t>
        </is>
      </c>
      <c r="G31" s="1" t="inlineStr">
        <is>
          <t>FATF member; emerging market</t>
        </is>
      </c>
    </row>
    <row r="32">
      <c r="A32" s="17" t="inlineStr">
        <is>
          <t>Kuwait</t>
        </is>
      </c>
      <c r="B32" s="27" t="inlineStr">
        <is>
          <t>Middle East</t>
        </is>
      </c>
      <c r="C32" s="27" t="inlineStr">
        <is>
          <t>Yes</t>
        </is>
      </c>
      <c r="D32" s="27" t="inlineStr">
        <is>
          <t>Clear</t>
        </is>
      </c>
      <c r="E32" s="18" t="n">
        <v>2</v>
      </c>
      <c r="F32" s="19" t="inlineStr">
        <is>
          <t>Medium Risk</t>
        </is>
      </c>
      <c r="G32" s="17" t="inlineStr">
        <is>
          <t>FATF member; standard due diligence</t>
        </is>
      </c>
    </row>
    <row r="33">
      <c r="A33" s="1" t="inlineStr">
        <is>
          <t>Malaysia</t>
        </is>
      </c>
      <c r="B33" s="26" t="inlineStr">
        <is>
          <t>Asia-Pacific</t>
        </is>
      </c>
      <c r="C33" s="26" t="inlineStr">
        <is>
          <t>Yes</t>
        </is>
      </c>
      <c r="D33" s="26" t="inlineStr">
        <is>
          <t>Clear</t>
        </is>
      </c>
      <c r="E33" s="18" t="n">
        <v>2</v>
      </c>
      <c r="F33" s="19" t="inlineStr">
        <is>
          <t>Medium Risk</t>
        </is>
      </c>
      <c r="G33" s="1" t="inlineStr">
        <is>
          <t>FATF member; robust BNM oversight</t>
        </is>
      </c>
    </row>
    <row r="34">
      <c r="A34" s="17" t="inlineStr">
        <is>
          <t>Mauritius</t>
        </is>
      </c>
      <c r="B34" s="27" t="inlineStr">
        <is>
          <t>Africa</t>
        </is>
      </c>
      <c r="C34" s="27" t="inlineStr">
        <is>
          <t>Yes</t>
        </is>
      </c>
      <c r="D34" s="27" t="inlineStr">
        <is>
          <t>Clear</t>
        </is>
      </c>
      <c r="E34" s="18" t="n">
        <v>2</v>
      </c>
      <c r="F34" s="19" t="inlineStr">
        <is>
          <t>Medium Risk</t>
        </is>
      </c>
      <c r="G34" s="17" t="inlineStr">
        <is>
          <t>FSC-regulated; previously EU-listed, now removed</t>
        </is>
      </c>
    </row>
    <row r="35">
      <c r="A35" s="1" t="inlineStr">
        <is>
          <t>Mexico</t>
        </is>
      </c>
      <c r="B35" s="26" t="inlineStr">
        <is>
          <t>Americas</t>
        </is>
      </c>
      <c r="C35" s="26" t="inlineStr">
        <is>
          <t>Yes</t>
        </is>
      </c>
      <c r="D35" s="26" t="inlineStr">
        <is>
          <t>Clear</t>
        </is>
      </c>
      <c r="E35" s="18" t="n">
        <v>2</v>
      </c>
      <c r="F35" s="19" t="inlineStr">
        <is>
          <t>Medium Risk</t>
        </is>
      </c>
      <c r="G35" s="1" t="inlineStr">
        <is>
          <t>FATF member; monitor crime exposure</t>
        </is>
      </c>
    </row>
    <row r="36">
      <c r="A36" s="17" t="inlineStr">
        <is>
          <t>Morocco</t>
        </is>
      </c>
      <c r="B36" s="27" t="inlineStr">
        <is>
          <t>Africa</t>
        </is>
      </c>
      <c r="C36" s="27" t="inlineStr">
        <is>
          <t>Yes</t>
        </is>
      </c>
      <c r="D36" s="27" t="inlineStr">
        <is>
          <t>Clear</t>
        </is>
      </c>
      <c r="E36" s="18" t="n">
        <v>2</v>
      </c>
      <c r="F36" s="19" t="inlineStr">
        <is>
          <t>Medium Risk</t>
        </is>
      </c>
      <c r="G36" s="17" t="inlineStr">
        <is>
          <t>FATF-style body member</t>
        </is>
      </c>
    </row>
    <row r="37">
      <c r="A37" s="1" t="inlineStr">
        <is>
          <t>Oman</t>
        </is>
      </c>
      <c r="B37" s="26" t="inlineStr">
        <is>
          <t>Middle East</t>
        </is>
      </c>
      <c r="C37" s="26" t="inlineStr">
        <is>
          <t>Yes</t>
        </is>
      </c>
      <c r="D37" s="26" t="inlineStr">
        <is>
          <t>Clear</t>
        </is>
      </c>
      <c r="E37" s="18" t="n">
        <v>2</v>
      </c>
      <c r="F37" s="19" t="inlineStr">
        <is>
          <t>Medium Risk</t>
        </is>
      </c>
      <c r="G37" s="1" t="inlineStr">
        <is>
          <t>CBO regulated; stable</t>
        </is>
      </c>
    </row>
    <row r="38">
      <c r="A38" s="17" t="inlineStr">
        <is>
          <t>Qatar</t>
        </is>
      </c>
      <c r="B38" s="27" t="inlineStr">
        <is>
          <t>Middle East</t>
        </is>
      </c>
      <c r="C38" s="27" t="inlineStr">
        <is>
          <t>Yes</t>
        </is>
      </c>
      <c r="D38" s="27" t="inlineStr">
        <is>
          <t>Clear</t>
        </is>
      </c>
      <c r="E38" s="18" t="n">
        <v>2</v>
      </c>
      <c r="F38" s="19" t="inlineStr">
        <is>
          <t>Medium Risk</t>
        </is>
      </c>
      <c r="G38" s="17" t="inlineStr">
        <is>
          <t>QCB regulated</t>
        </is>
      </c>
    </row>
    <row r="39">
      <c r="A39" s="1" t="inlineStr">
        <is>
          <t>Rwanda</t>
        </is>
      </c>
      <c r="B39" s="26" t="inlineStr">
        <is>
          <t>Africa</t>
        </is>
      </c>
      <c r="C39" s="26" t="inlineStr">
        <is>
          <t>Yes</t>
        </is>
      </c>
      <c r="D39" s="26" t="inlineStr">
        <is>
          <t>Clear</t>
        </is>
      </c>
      <c r="E39" s="18" t="n">
        <v>2</v>
      </c>
      <c r="F39" s="19" t="inlineStr">
        <is>
          <t>Medium Risk</t>
        </is>
      </c>
      <c r="G39" s="1" t="inlineStr">
        <is>
          <t>Improving AML framework</t>
        </is>
      </c>
    </row>
    <row r="40">
      <c r="A40" s="17" t="inlineStr">
        <is>
          <t>Saudi Arabia</t>
        </is>
      </c>
      <c r="B40" s="27" t="inlineStr">
        <is>
          <t>Middle East</t>
        </is>
      </c>
      <c r="C40" s="27" t="inlineStr">
        <is>
          <t>Yes</t>
        </is>
      </c>
      <c r="D40" s="27" t="inlineStr">
        <is>
          <t>Clear</t>
        </is>
      </c>
      <c r="E40" s="18" t="n">
        <v>2</v>
      </c>
      <c r="F40" s="19" t="inlineStr">
        <is>
          <t>Medium Risk</t>
        </is>
      </c>
      <c r="G40" s="17" t="inlineStr">
        <is>
          <t>FATF member; SAMA regulated</t>
        </is>
      </c>
    </row>
    <row r="41">
      <c r="A41" s="1" t="inlineStr">
        <is>
          <t>Seychelles</t>
        </is>
      </c>
      <c r="B41" s="26" t="inlineStr">
        <is>
          <t>Africa</t>
        </is>
      </c>
      <c r="C41" s="26" t="inlineStr">
        <is>
          <t>Yes</t>
        </is>
      </c>
      <c r="D41" s="26" t="inlineStr">
        <is>
          <t>Clear</t>
        </is>
      </c>
      <c r="E41" s="18" t="n">
        <v>2</v>
      </c>
      <c r="F41" s="19" t="inlineStr">
        <is>
          <t>Medium Risk</t>
        </is>
      </c>
      <c r="G41" s="1" t="inlineStr">
        <is>
          <t>IFC; FSA regulated</t>
        </is>
      </c>
    </row>
    <row r="42">
      <c r="A42" s="17" t="inlineStr">
        <is>
          <t>Spain</t>
        </is>
      </c>
      <c r="B42" s="27" t="inlineStr">
        <is>
          <t>Europe</t>
        </is>
      </c>
      <c r="C42" s="27" t="inlineStr">
        <is>
          <t>Yes</t>
        </is>
      </c>
      <c r="D42" s="27" t="inlineStr">
        <is>
          <t>Clear</t>
        </is>
      </c>
      <c r="E42" s="18" t="n">
        <v>2</v>
      </c>
      <c r="F42" s="19" t="inlineStr">
        <is>
          <t>Medium Risk</t>
        </is>
      </c>
      <c r="G42" s="17" t="inlineStr">
        <is>
          <t>EU member; FATF member</t>
        </is>
      </c>
    </row>
    <row r="43">
      <c r="A43" s="1" t="inlineStr">
        <is>
          <t>Turkey</t>
        </is>
      </c>
      <c r="B43" s="26" t="inlineStr">
        <is>
          <t>Europe/Asia</t>
        </is>
      </c>
      <c r="C43" s="26" t="inlineStr">
        <is>
          <t>Yes</t>
        </is>
      </c>
      <c r="D43" s="26" t="inlineStr">
        <is>
          <t>Clear</t>
        </is>
      </c>
      <c r="E43" s="18" t="n">
        <v>2</v>
      </c>
      <c r="F43" s="19" t="inlineStr">
        <is>
          <t>Medium Risk</t>
        </is>
      </c>
      <c r="G43" s="1" t="inlineStr">
        <is>
          <t>Removed from grey list 2024; monitor progress</t>
        </is>
      </c>
    </row>
    <row r="44">
      <c r="A44" s="17" t="inlineStr">
        <is>
          <t>UAE</t>
        </is>
      </c>
      <c r="B44" s="27" t="inlineStr">
        <is>
          <t>Middle East</t>
        </is>
      </c>
      <c r="C44" s="27" t="inlineStr">
        <is>
          <t>Yes</t>
        </is>
      </c>
      <c r="D44" s="27" t="inlineStr">
        <is>
          <t>Clear</t>
        </is>
      </c>
      <c r="E44" s="18" t="n">
        <v>2</v>
      </c>
      <c r="F44" s="19" t="inlineStr">
        <is>
          <t>Medium Risk</t>
        </is>
      </c>
      <c r="G44" s="17" t="inlineStr">
        <is>
          <t>Removed from FATF grey list June 2024; enhanced monitoring still advised</t>
        </is>
      </c>
    </row>
    <row r="45">
      <c r="A45" s="1" t="inlineStr">
        <is>
          <t>Uganda</t>
        </is>
      </c>
      <c r="B45" s="26" t="inlineStr">
        <is>
          <t>Africa</t>
        </is>
      </c>
      <c r="C45" s="26" t="inlineStr">
        <is>
          <t>Yes</t>
        </is>
      </c>
      <c r="D45" s="26" t="inlineStr">
        <is>
          <t>Clear</t>
        </is>
      </c>
      <c r="E45" s="18" t="n">
        <v>2</v>
      </c>
      <c r="F45" s="19" t="inlineStr">
        <is>
          <t>Medium Risk</t>
        </is>
      </c>
      <c r="G45" s="1" t="inlineStr">
        <is>
          <t>Improving compliance framework</t>
        </is>
      </c>
    </row>
    <row r="46">
      <c r="A46" s="17" t="inlineStr">
        <is>
          <t>Ghana</t>
        </is>
      </c>
      <c r="B46" s="27" t="inlineStr">
        <is>
          <t>Africa</t>
        </is>
      </c>
      <c r="C46" s="27" t="inlineStr">
        <is>
          <t>Yes</t>
        </is>
      </c>
      <c r="D46" s="27" t="inlineStr">
        <is>
          <t>Clear</t>
        </is>
      </c>
      <c r="E46" s="18" t="n">
        <v>2</v>
      </c>
      <c r="F46" s="19" t="inlineStr">
        <is>
          <t>Medium Risk</t>
        </is>
      </c>
      <c r="G46" s="17" t="inlineStr">
        <is>
          <t>FATF-style body; improving AML</t>
        </is>
      </c>
    </row>
    <row r="47">
      <c r="A47" s="1" t="inlineStr">
        <is>
          <t>Ivory Coast</t>
        </is>
      </c>
      <c r="B47" s="26" t="inlineStr">
        <is>
          <t>Africa</t>
        </is>
      </c>
      <c r="C47" s="26" t="inlineStr">
        <is>
          <t>Yes</t>
        </is>
      </c>
      <c r="D47" s="26" t="inlineStr">
        <is>
          <t>Clear</t>
        </is>
      </c>
      <c r="E47" s="18" t="n">
        <v>2</v>
      </c>
      <c r="F47" s="19" t="inlineStr">
        <is>
          <t>Medium Risk</t>
        </is>
      </c>
      <c r="G47" s="1" t="inlineStr">
        <is>
          <t>GIABA member; monitor closely</t>
        </is>
      </c>
    </row>
    <row r="48">
      <c r="A48" s="17" t="inlineStr">
        <is>
          <t>Jordan</t>
        </is>
      </c>
      <c r="B48" s="27" t="inlineStr">
        <is>
          <t>Middle East</t>
        </is>
      </c>
      <c r="C48" s="27" t="inlineStr">
        <is>
          <t>Yes</t>
        </is>
      </c>
      <c r="D48" s="27" t="inlineStr">
        <is>
          <t>Clear</t>
        </is>
      </c>
      <c r="E48" s="18" t="n">
        <v>2</v>
      </c>
      <c r="F48" s="19" t="inlineStr">
        <is>
          <t>Medium Risk</t>
        </is>
      </c>
      <c r="G48" s="17" t="inlineStr">
        <is>
          <t>FATF-style body member</t>
        </is>
      </c>
    </row>
    <row r="49">
      <c r="A49" s="1" t="inlineStr">
        <is>
          <t>Sri Lanka</t>
        </is>
      </c>
      <c r="B49" s="26" t="inlineStr">
        <is>
          <t>Asia-Pacific</t>
        </is>
      </c>
      <c r="C49" s="26" t="inlineStr">
        <is>
          <t>Yes</t>
        </is>
      </c>
      <c r="D49" s="26" t="inlineStr">
        <is>
          <t>Clear</t>
        </is>
      </c>
      <c r="E49" s="18" t="n">
        <v>2</v>
      </c>
      <c r="F49" s="19" t="inlineStr">
        <is>
          <t>Medium Risk</t>
        </is>
      </c>
      <c r="G49" s="1" t="inlineStr">
        <is>
          <t>FATF member; post-crisis recovery</t>
        </is>
      </c>
    </row>
    <row r="50">
      <c r="A50" s="17" t="inlineStr">
        <is>
          <t>Tunisia</t>
        </is>
      </c>
      <c r="B50" s="27" t="inlineStr">
        <is>
          <t>Africa</t>
        </is>
      </c>
      <c r="C50" s="27" t="inlineStr">
        <is>
          <t>Yes</t>
        </is>
      </c>
      <c r="D50" s="27" t="inlineStr">
        <is>
          <t>Clear</t>
        </is>
      </c>
      <c r="E50" s="18" t="n">
        <v>2</v>
      </c>
      <c r="F50" s="19" t="inlineStr">
        <is>
          <t>Medium Risk</t>
        </is>
      </c>
      <c r="G50" s="17" t="inlineStr">
        <is>
          <t>MENA-FATF member</t>
        </is>
      </c>
    </row>
    <row r="51">
      <c r="A51" s="1" t="inlineStr">
        <is>
          <t>Algeria</t>
        </is>
      </c>
      <c r="B51" s="26" t="inlineStr">
        <is>
          <t>Africa</t>
        </is>
      </c>
      <c r="C51" s="26" t="inlineStr">
        <is>
          <t>Yes</t>
        </is>
      </c>
      <c r="D51" s="26" t="inlineStr">
        <is>
          <t>Grey List</t>
        </is>
      </c>
      <c r="E51" s="20" t="n">
        <v>3</v>
      </c>
      <c r="F51" s="21" t="inlineStr">
        <is>
          <t>High Risk</t>
        </is>
      </c>
      <c r="G51" s="1" t="inlineStr">
        <is>
          <t>FATF grey list — enhanced due diligence required</t>
        </is>
      </c>
    </row>
    <row r="52">
      <c r="A52" s="17" t="inlineStr">
        <is>
          <t>Burkina Faso</t>
        </is>
      </c>
      <c r="B52" s="27" t="inlineStr">
        <is>
          <t>Africa</t>
        </is>
      </c>
      <c r="C52" s="27" t="inlineStr">
        <is>
          <t>Yes</t>
        </is>
      </c>
      <c r="D52" s="27" t="inlineStr">
        <is>
          <t>Grey List</t>
        </is>
      </c>
      <c r="E52" s="20" t="n">
        <v>3</v>
      </c>
      <c r="F52" s="21" t="inlineStr">
        <is>
          <t>High Risk</t>
        </is>
      </c>
      <c r="G52" s="17" t="inlineStr">
        <is>
          <t>FATF grey list — political instability</t>
        </is>
      </c>
    </row>
    <row r="53">
      <c r="A53" s="1" t="inlineStr">
        <is>
          <t>Cameroon</t>
        </is>
      </c>
      <c r="B53" s="26" t="inlineStr">
        <is>
          <t>Africa</t>
        </is>
      </c>
      <c r="C53" s="26" t="inlineStr">
        <is>
          <t>Yes</t>
        </is>
      </c>
      <c r="D53" s="26" t="inlineStr">
        <is>
          <t>Grey List</t>
        </is>
      </c>
      <c r="E53" s="20" t="n">
        <v>3</v>
      </c>
      <c r="F53" s="21" t="inlineStr">
        <is>
          <t>High Risk</t>
        </is>
      </c>
      <c r="G53" s="1" t="inlineStr">
        <is>
          <t>FATF grey list</t>
        </is>
      </c>
    </row>
    <row r="54">
      <c r="A54" s="17" t="inlineStr">
        <is>
          <t>Democratic Rep. Congo</t>
        </is>
      </c>
      <c r="B54" s="27" t="inlineStr">
        <is>
          <t>Africa</t>
        </is>
      </c>
      <c r="C54" s="27" t="inlineStr">
        <is>
          <t>Yes</t>
        </is>
      </c>
      <c r="D54" s="27" t="inlineStr">
        <is>
          <t>Grey List</t>
        </is>
      </c>
      <c r="E54" s="20" t="n">
        <v>3</v>
      </c>
      <c r="F54" s="21" t="inlineStr">
        <is>
          <t>High Risk</t>
        </is>
      </c>
      <c r="G54" s="17" t="inlineStr">
        <is>
          <t>FATF grey list — high corruption</t>
        </is>
      </c>
    </row>
    <row r="55">
      <c r="A55" s="1" t="inlineStr">
        <is>
          <t>Haiti</t>
        </is>
      </c>
      <c r="B55" s="26" t="inlineStr">
        <is>
          <t>Americas</t>
        </is>
      </c>
      <c r="C55" s="26" t="inlineStr">
        <is>
          <t>Yes</t>
        </is>
      </c>
      <c r="D55" s="26" t="inlineStr">
        <is>
          <t>Grey List</t>
        </is>
      </c>
      <c r="E55" s="20" t="n">
        <v>3</v>
      </c>
      <c r="F55" s="21" t="inlineStr">
        <is>
          <t>High Risk</t>
        </is>
      </c>
      <c r="G55" s="1" t="inlineStr">
        <is>
          <t>FATF grey list — political/economic crisis</t>
        </is>
      </c>
    </row>
    <row r="56">
      <c r="A56" s="17" t="inlineStr">
        <is>
          <t>Kenya</t>
        </is>
      </c>
      <c r="B56" s="27" t="inlineStr">
        <is>
          <t>Africa</t>
        </is>
      </c>
      <c r="C56" s="27" t="inlineStr">
        <is>
          <t>Yes</t>
        </is>
      </c>
      <c r="D56" s="27" t="inlineStr">
        <is>
          <t>Grey List</t>
        </is>
      </c>
      <c r="E56" s="20" t="n">
        <v>3</v>
      </c>
      <c r="F56" s="21" t="inlineStr">
        <is>
          <t>High Risk</t>
        </is>
      </c>
      <c r="G56" s="17" t="inlineStr">
        <is>
          <t>FATF grey list — AML deficiencies</t>
        </is>
      </c>
    </row>
    <row r="57">
      <c r="A57" s="1" t="inlineStr">
        <is>
          <t>Laos</t>
        </is>
      </c>
      <c r="B57" s="26" t="inlineStr">
        <is>
          <t>Asia-Pacific</t>
        </is>
      </c>
      <c r="C57" s="26" t="inlineStr">
        <is>
          <t>Yes</t>
        </is>
      </c>
      <c r="D57" s="26" t="inlineStr">
        <is>
          <t>Grey List</t>
        </is>
      </c>
      <c r="E57" s="20" t="n">
        <v>3</v>
      </c>
      <c r="F57" s="21" t="inlineStr">
        <is>
          <t>High Risk</t>
        </is>
      </c>
      <c r="G57" s="1" t="inlineStr">
        <is>
          <t>FATF grey list</t>
        </is>
      </c>
    </row>
    <row r="58">
      <c r="A58" s="17" t="inlineStr">
        <is>
          <t>Lebanon</t>
        </is>
      </c>
      <c r="B58" s="27" t="inlineStr">
        <is>
          <t>Middle East</t>
        </is>
      </c>
      <c r="C58" s="27" t="inlineStr">
        <is>
          <t>Yes</t>
        </is>
      </c>
      <c r="D58" s="27" t="inlineStr">
        <is>
          <t>Grey List</t>
        </is>
      </c>
      <c r="E58" s="20" t="n">
        <v>3</v>
      </c>
      <c r="F58" s="21" t="inlineStr">
        <is>
          <t>High Risk</t>
        </is>
      </c>
      <c r="G58" s="17" t="inlineStr">
        <is>
          <t>FATF grey list — financial crisis</t>
        </is>
      </c>
    </row>
    <row r="59">
      <c r="A59" s="1" t="inlineStr">
        <is>
          <t>Mali</t>
        </is>
      </c>
      <c r="B59" s="26" t="inlineStr">
        <is>
          <t>Africa</t>
        </is>
      </c>
      <c r="C59" s="26" t="inlineStr">
        <is>
          <t>Yes</t>
        </is>
      </c>
      <c r="D59" s="26" t="inlineStr">
        <is>
          <t>Grey List</t>
        </is>
      </c>
      <c r="E59" s="20" t="n">
        <v>3</v>
      </c>
      <c r="F59" s="21" t="inlineStr">
        <is>
          <t>High Risk</t>
        </is>
      </c>
      <c r="G59" s="1" t="inlineStr">
        <is>
          <t>FATF grey list — security issues</t>
        </is>
      </c>
    </row>
    <row r="60">
      <c r="A60" s="17" t="inlineStr">
        <is>
          <t>Monaco</t>
        </is>
      </c>
      <c r="B60" s="27" t="inlineStr">
        <is>
          <t>Europe</t>
        </is>
      </c>
      <c r="C60" s="27" t="inlineStr">
        <is>
          <t>Yes</t>
        </is>
      </c>
      <c r="D60" s="27" t="inlineStr">
        <is>
          <t>Grey List</t>
        </is>
      </c>
      <c r="E60" s="20" t="n">
        <v>3</v>
      </c>
      <c r="F60" s="21" t="inlineStr">
        <is>
          <t>High Risk</t>
        </is>
      </c>
      <c r="G60" s="17" t="inlineStr">
        <is>
          <t>FATF grey list</t>
        </is>
      </c>
    </row>
    <row r="61">
      <c r="A61" s="1" t="inlineStr">
        <is>
          <t>Mozambique</t>
        </is>
      </c>
      <c r="B61" s="26" t="inlineStr">
        <is>
          <t>Africa</t>
        </is>
      </c>
      <c r="C61" s="26" t="inlineStr">
        <is>
          <t>Yes</t>
        </is>
      </c>
      <c r="D61" s="26" t="inlineStr">
        <is>
          <t>Grey List</t>
        </is>
      </c>
      <c r="E61" s="20" t="n">
        <v>3</v>
      </c>
      <c r="F61" s="21" t="inlineStr">
        <is>
          <t>High Risk</t>
        </is>
      </c>
      <c r="G61" s="1" t="inlineStr">
        <is>
          <t>FATF grey list</t>
        </is>
      </c>
    </row>
    <row r="62">
      <c r="A62" s="17" t="inlineStr">
        <is>
          <t>Nigeria</t>
        </is>
      </c>
      <c r="B62" s="27" t="inlineStr">
        <is>
          <t>Africa</t>
        </is>
      </c>
      <c r="C62" s="27" t="inlineStr">
        <is>
          <t>Yes</t>
        </is>
      </c>
      <c r="D62" s="27" t="inlineStr">
        <is>
          <t>Grey List</t>
        </is>
      </c>
      <c r="E62" s="20" t="n">
        <v>3</v>
      </c>
      <c r="F62" s="21" t="inlineStr">
        <is>
          <t>High Risk</t>
        </is>
      </c>
      <c r="G62" s="17" t="inlineStr">
        <is>
          <t>FATF grey list — monitor closely</t>
        </is>
      </c>
    </row>
    <row r="63">
      <c r="A63" s="1" t="inlineStr">
        <is>
          <t>Philippines</t>
        </is>
      </c>
      <c r="B63" s="26" t="inlineStr">
        <is>
          <t>Asia-Pacific</t>
        </is>
      </c>
      <c r="C63" s="26" t="inlineStr">
        <is>
          <t>Yes</t>
        </is>
      </c>
      <c r="D63" s="26" t="inlineStr">
        <is>
          <t>Grey List</t>
        </is>
      </c>
      <c r="E63" s="20" t="n">
        <v>3</v>
      </c>
      <c r="F63" s="21" t="inlineStr">
        <is>
          <t>High Risk</t>
        </is>
      </c>
      <c r="G63" s="1" t="inlineStr">
        <is>
          <t>FATF grey list</t>
        </is>
      </c>
    </row>
    <row r="64">
      <c r="A64" s="17" t="inlineStr">
        <is>
          <t>Senegal</t>
        </is>
      </c>
      <c r="B64" s="27" t="inlineStr">
        <is>
          <t>Africa</t>
        </is>
      </c>
      <c r="C64" s="27" t="inlineStr">
        <is>
          <t>Yes</t>
        </is>
      </c>
      <c r="D64" s="27" t="inlineStr">
        <is>
          <t>Grey List</t>
        </is>
      </c>
      <c r="E64" s="20" t="n">
        <v>3</v>
      </c>
      <c r="F64" s="21" t="inlineStr">
        <is>
          <t>High Risk</t>
        </is>
      </c>
      <c r="G64" s="17" t="inlineStr">
        <is>
          <t>FATF grey list</t>
        </is>
      </c>
    </row>
    <row r="65">
      <c r="A65" s="1" t="inlineStr">
        <is>
          <t>South Africa</t>
        </is>
      </c>
      <c r="B65" s="26" t="inlineStr">
        <is>
          <t>Africa</t>
        </is>
      </c>
      <c r="C65" s="26" t="inlineStr">
        <is>
          <t>Yes</t>
        </is>
      </c>
      <c r="D65" s="26" t="inlineStr">
        <is>
          <t>Grey List</t>
        </is>
      </c>
      <c r="E65" s="20" t="n">
        <v>3</v>
      </c>
      <c r="F65" s="21" t="inlineStr">
        <is>
          <t>High Risk</t>
        </is>
      </c>
      <c r="G65" s="1" t="inlineStr">
        <is>
          <t>FATF grey list</t>
        </is>
      </c>
    </row>
    <row r="66">
      <c r="A66" s="17" t="inlineStr">
        <is>
          <t>South Sudan</t>
        </is>
      </c>
      <c r="B66" s="27" t="inlineStr">
        <is>
          <t>Africa</t>
        </is>
      </c>
      <c r="C66" s="27" t="inlineStr">
        <is>
          <t>No</t>
        </is>
      </c>
      <c r="D66" s="27" t="inlineStr">
        <is>
          <t>Grey List</t>
        </is>
      </c>
      <c r="E66" s="20" t="n">
        <v>3</v>
      </c>
      <c r="F66" s="21" t="inlineStr">
        <is>
          <t>High Risk</t>
        </is>
      </c>
      <c r="G66" s="17" t="inlineStr">
        <is>
          <t>FATF grey list — conflict zone</t>
        </is>
      </c>
    </row>
    <row r="67">
      <c r="A67" s="1" t="inlineStr">
        <is>
          <t>Tanzania</t>
        </is>
      </c>
      <c r="B67" s="26" t="inlineStr">
        <is>
          <t>Africa</t>
        </is>
      </c>
      <c r="C67" s="26" t="inlineStr">
        <is>
          <t>Yes</t>
        </is>
      </c>
      <c r="D67" s="26" t="inlineStr">
        <is>
          <t>Grey List</t>
        </is>
      </c>
      <c r="E67" s="20" t="n">
        <v>3</v>
      </c>
      <c r="F67" s="21" t="inlineStr">
        <is>
          <t>High Risk</t>
        </is>
      </c>
      <c r="G67" s="1" t="inlineStr">
        <is>
          <t>FATF grey list</t>
        </is>
      </c>
    </row>
    <row r="68">
      <c r="A68" s="17" t="inlineStr">
        <is>
          <t>Venezuela</t>
        </is>
      </c>
      <c r="B68" s="27" t="inlineStr">
        <is>
          <t>Americas</t>
        </is>
      </c>
      <c r="C68" s="27" t="inlineStr">
        <is>
          <t>Yes</t>
        </is>
      </c>
      <c r="D68" s="27" t="inlineStr">
        <is>
          <t>Grey List</t>
        </is>
      </c>
      <c r="E68" s="20" t="n">
        <v>3</v>
      </c>
      <c r="F68" s="21" t="inlineStr">
        <is>
          <t>High Risk</t>
        </is>
      </c>
      <c r="G68" s="17" t="inlineStr">
        <is>
          <t>FATF grey list — severe economic crisis</t>
        </is>
      </c>
    </row>
    <row r="69">
      <c r="A69" s="1" t="inlineStr">
        <is>
          <t>Vietnam</t>
        </is>
      </c>
      <c r="B69" s="26" t="inlineStr">
        <is>
          <t>Asia-Pacific</t>
        </is>
      </c>
      <c r="C69" s="26" t="inlineStr">
        <is>
          <t>Yes</t>
        </is>
      </c>
      <c r="D69" s="26" t="inlineStr">
        <is>
          <t>Grey List</t>
        </is>
      </c>
      <c r="E69" s="20" t="n">
        <v>3</v>
      </c>
      <c r="F69" s="21" t="inlineStr">
        <is>
          <t>High Risk</t>
        </is>
      </c>
      <c r="G69" s="1" t="inlineStr">
        <is>
          <t>FATF grey list</t>
        </is>
      </c>
    </row>
    <row r="70">
      <c r="A70" s="17" t="inlineStr">
        <is>
          <t>Yemen</t>
        </is>
      </c>
      <c r="B70" s="27" t="inlineStr">
        <is>
          <t>Middle East</t>
        </is>
      </c>
      <c r="C70" s="27" t="inlineStr">
        <is>
          <t>No</t>
        </is>
      </c>
      <c r="D70" s="27" t="inlineStr">
        <is>
          <t>Grey List</t>
        </is>
      </c>
      <c r="E70" s="20" t="n">
        <v>3</v>
      </c>
      <c r="F70" s="21" t="inlineStr">
        <is>
          <t>High Risk</t>
        </is>
      </c>
      <c r="G70" s="17" t="inlineStr">
        <is>
          <t>FATF grey list — conflict</t>
        </is>
      </c>
    </row>
    <row r="71">
      <c r="A71" s="1" t="inlineStr">
        <is>
          <t>Iran</t>
        </is>
      </c>
      <c r="B71" s="26" t="inlineStr">
        <is>
          <t>Middle East</t>
        </is>
      </c>
      <c r="C71" s="26" t="inlineStr">
        <is>
          <t>No</t>
        </is>
      </c>
      <c r="D71" s="26" t="inlineStr">
        <is>
          <t>Black List</t>
        </is>
      </c>
      <c r="E71" s="22" t="n">
        <v>4</v>
      </c>
      <c r="F71" s="23" t="inlineStr">
        <is>
          <t>Very High Risk</t>
        </is>
      </c>
      <c r="G71" s="1" t="inlineStr">
        <is>
          <t>FATF Black List — comprehensive sanctions</t>
        </is>
      </c>
    </row>
    <row r="72">
      <c r="A72" s="17" t="inlineStr">
        <is>
          <t>North Korea</t>
        </is>
      </c>
      <c r="B72" s="27" t="inlineStr">
        <is>
          <t>Asia-Pacific</t>
        </is>
      </c>
      <c r="C72" s="27" t="inlineStr">
        <is>
          <t>No</t>
        </is>
      </c>
      <c r="D72" s="27" t="inlineStr">
        <is>
          <t>Black List</t>
        </is>
      </c>
      <c r="E72" s="22" t="n">
        <v>4</v>
      </c>
      <c r="F72" s="23" t="inlineStr">
        <is>
          <t>Very High Risk</t>
        </is>
      </c>
      <c r="G72" s="17" t="inlineStr">
        <is>
          <t>FATF Black List — UN sanctions</t>
        </is>
      </c>
    </row>
    <row r="73">
      <c r="A73" s="1" t="inlineStr">
        <is>
          <t>Myanmar</t>
        </is>
      </c>
      <c r="B73" s="26" t="inlineStr">
        <is>
          <t>Asia-Pacific</t>
        </is>
      </c>
      <c r="C73" s="26" t="inlineStr">
        <is>
          <t>No</t>
        </is>
      </c>
      <c r="D73" s="26" t="inlineStr">
        <is>
          <t>Black List</t>
        </is>
      </c>
      <c r="E73" s="22" t="n">
        <v>4</v>
      </c>
      <c r="F73" s="23" t="inlineStr">
        <is>
          <t>Very High Risk</t>
        </is>
      </c>
      <c r="G73" s="1" t="inlineStr">
        <is>
          <t>FATF Black List — military coup / sanctions</t>
        </is>
      </c>
    </row>
    <row r="74">
      <c r="A74" s="17" t="inlineStr">
        <is>
          <t>Russia</t>
        </is>
      </c>
      <c r="B74" s="27" t="inlineStr">
        <is>
          <t>Europe/Asia</t>
        </is>
      </c>
      <c r="C74" s="27" t="inlineStr">
        <is>
          <t>Yes</t>
        </is>
      </c>
      <c r="D74" s="27" t="inlineStr">
        <is>
          <t>Suspended</t>
        </is>
      </c>
      <c r="E74" s="22" t="n">
        <v>4</v>
      </c>
      <c r="F74" s="23" t="inlineStr">
        <is>
          <t>Very High Risk</t>
        </is>
      </c>
      <c r="G74" s="17" t="inlineStr">
        <is>
          <t>FATF membership suspended; comprehensive sanctions</t>
        </is>
      </c>
    </row>
    <row r="75">
      <c r="A75" s="1" t="inlineStr">
        <is>
          <t>Syria</t>
        </is>
      </c>
      <c r="B75" s="26" t="inlineStr">
        <is>
          <t>Middle East</t>
        </is>
      </c>
      <c r="C75" s="26" t="inlineStr">
        <is>
          <t>No</t>
        </is>
      </c>
      <c r="D75" s="26" t="inlineStr">
        <is>
          <t>Black List</t>
        </is>
      </c>
      <c r="E75" s="22" t="n">
        <v>4</v>
      </c>
      <c r="F75" s="23" t="inlineStr">
        <is>
          <t>Very High Risk</t>
        </is>
      </c>
      <c r="G75" s="1" t="inlineStr">
        <is>
          <t>Comprehensive sanctions</t>
        </is>
      </c>
    </row>
    <row r="76">
      <c r="A76" s="17" t="inlineStr">
        <is>
          <t>Belarus</t>
        </is>
      </c>
      <c r="B76" s="27" t="inlineStr">
        <is>
          <t>Europe</t>
        </is>
      </c>
      <c r="C76" s="27" t="inlineStr">
        <is>
          <t>No</t>
        </is>
      </c>
      <c r="D76" s="27" t="inlineStr">
        <is>
          <t>Black List</t>
        </is>
      </c>
      <c r="E76" s="22" t="n">
        <v>4</v>
      </c>
      <c r="F76" s="23" t="inlineStr">
        <is>
          <t>Very High Risk</t>
        </is>
      </c>
      <c r="G76" s="17" t="inlineStr">
        <is>
          <t>EU/US sanctions; Russia-aligned</t>
        </is>
      </c>
    </row>
    <row r="77">
      <c r="A77" s="1" t="inlineStr">
        <is>
          <t>Cuba</t>
        </is>
      </c>
      <c r="B77" s="26" t="inlineStr">
        <is>
          <t>Americas</t>
        </is>
      </c>
      <c r="C77" s="26" t="inlineStr">
        <is>
          <t>No</t>
        </is>
      </c>
      <c r="D77" s="26" t="inlineStr">
        <is>
          <t>Black List</t>
        </is>
      </c>
      <c r="E77" s="22" t="n">
        <v>4</v>
      </c>
      <c r="F77" s="23" t="inlineStr">
        <is>
          <t>Very High Risk</t>
        </is>
      </c>
      <c r="G77" s="1" t="inlineStr">
        <is>
          <t>US comprehensive sanctions</t>
        </is>
      </c>
    </row>
    <row r="78">
      <c r="A78" s="17" t="inlineStr">
        <is>
          <t>Afghanistan</t>
        </is>
      </c>
      <c r="B78" s="27" t="inlineStr">
        <is>
          <t>Asia</t>
        </is>
      </c>
      <c r="C78" s="27" t="inlineStr">
        <is>
          <t>No</t>
        </is>
      </c>
      <c r="D78" s="27" t="inlineStr">
        <is>
          <t>Black List</t>
        </is>
      </c>
      <c r="E78" s="22" t="n">
        <v>4</v>
      </c>
      <c r="F78" s="23" t="inlineStr">
        <is>
          <t>Very High Risk</t>
        </is>
      </c>
      <c r="G78" s="17" t="inlineStr">
        <is>
          <t>Taliban-controlled; sanctions apply</t>
        </is>
      </c>
    </row>
    <row r="79">
      <c r="A79" s="1" t="inlineStr">
        <is>
          <t>Somalia</t>
        </is>
      </c>
      <c r="B79" s="26" t="inlineStr">
        <is>
          <t>Africa</t>
        </is>
      </c>
      <c r="C79" s="26" t="inlineStr">
        <is>
          <t>No</t>
        </is>
      </c>
      <c r="D79" s="26" t="inlineStr">
        <is>
          <t>Black List</t>
        </is>
      </c>
      <c r="E79" s="22" t="n">
        <v>4</v>
      </c>
      <c r="F79" s="23" t="inlineStr">
        <is>
          <t>Very High Risk</t>
        </is>
      </c>
      <c r="G79" s="1" t="inlineStr">
        <is>
          <t>Failed state; UN sanctions</t>
        </is>
      </c>
    </row>
    <row r="80">
      <c r="A80" s="17" t="inlineStr">
        <is>
          <t>Libya</t>
        </is>
      </c>
      <c r="B80" s="27" t="inlineStr">
        <is>
          <t>Africa</t>
        </is>
      </c>
      <c r="C80" s="27" t="inlineStr">
        <is>
          <t>No</t>
        </is>
      </c>
      <c r="D80" s="27" t="inlineStr">
        <is>
          <t>Black List</t>
        </is>
      </c>
      <c r="E80" s="22" t="n">
        <v>4</v>
      </c>
      <c r="F80" s="23" t="inlineStr">
        <is>
          <t>Very High Risk</t>
        </is>
      </c>
      <c r="G80" s="17" t="inlineStr">
        <is>
          <t>Conflict zone; UN sanctions</t>
        </is>
      </c>
    </row>
    <row r="81">
      <c r="A81" s="1" t="inlineStr">
        <is>
          <t>Eritrea</t>
        </is>
      </c>
      <c r="B81" s="26" t="inlineStr">
        <is>
          <t>Africa</t>
        </is>
      </c>
      <c r="C81" s="26" t="inlineStr">
        <is>
          <t>No</t>
        </is>
      </c>
      <c r="D81" s="26" t="inlineStr">
        <is>
          <t>Black List</t>
        </is>
      </c>
      <c r="E81" s="22" t="n">
        <v>4</v>
      </c>
      <c r="F81" s="23" t="inlineStr">
        <is>
          <t>Very High Risk</t>
        </is>
      </c>
      <c r="G81" s="1" t="inlineStr">
        <is>
          <t>UN sanctions</t>
        </is>
      </c>
    </row>
    <row r="82">
      <c r="A82" s="17" t="inlineStr">
        <is>
          <t>Sudan</t>
        </is>
      </c>
      <c r="B82" s="27" t="inlineStr">
        <is>
          <t>Africa</t>
        </is>
      </c>
      <c r="C82" s="27" t="inlineStr">
        <is>
          <t>No</t>
        </is>
      </c>
      <c r="D82" s="27" t="inlineStr">
        <is>
          <t>Black List</t>
        </is>
      </c>
      <c r="E82" s="22" t="n">
        <v>4</v>
      </c>
      <c r="F82" s="23" t="inlineStr">
        <is>
          <t>Very High Risk</t>
        </is>
      </c>
      <c r="G82" s="17" t="inlineStr">
        <is>
          <t>Conflict; sanctions apply</t>
        </is>
      </c>
    </row>
  </sheetData>
  <mergeCells count="1">
    <mergeCell ref="A1:G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B47"/>
  <sheetViews>
    <sheetView tabSelected="1" zoomScaleNormal="100" workbookViewId="0">
      <selection activeCell="A1" sqref="A1:B1"/>
    </sheetView>
  </sheetViews>
  <sheetFormatPr baseColWidth="10" defaultColWidth="8.6640625" defaultRowHeight="15" customHeight="1"/>
  <cols>
    <col width="20" customWidth="1" min="1" max="1"/>
    <col width="100" customWidth="1" min="2" max="2"/>
  </cols>
  <sheetData>
    <row r="1" ht="16" customHeight="1">
      <c r="A1" s="28" t="inlineStr">
        <is>
          <t>ARIE FINANCE LTD — RISK SCORING MODEL: METHODOLOGY</t>
        </is>
      </c>
    </row>
    <row r="2">
      <c r="A2" s="40" t="inlineStr">
        <is>
          <t>AML/CFT Risk Assessment Framework — Version 1.5</t>
        </is>
      </c>
    </row>
    <row r="3"/>
    <row r="4">
      <c r="A4" s="29" t="inlineStr">
        <is>
          <t xml:space="preserve">  PURPOSE</t>
        </is>
      </c>
    </row>
    <row r="5" ht="22.25" customHeight="1">
      <c r="A5" s="30" t="inlineStr">
        <is>
          <t>This model provides a standardised, repeatable risk assessment framework for all corporate clients applying for Payment Intermediary Services (PIS) through ARIE Finance Ltd. It is designed to comply with the FATF Risk-Based Approach for banking and payment institutions.</t>
        </is>
      </c>
    </row>
    <row r="6"/>
    <row r="7">
      <c r="A7" s="29" t="inlineStr">
        <is>
          <t xml:space="preserve">  REGULATORY BASIS</t>
        </is>
      </c>
    </row>
    <row r="8" ht="22.25" customHeight="1">
      <c r="A8" s="30" t="inlineStr">
        <is>
          <t>FATF Recommendations (2012, updated 2023) | FATF Risk-Based Approach Guidance: Banking Sector | FSC Mauritius AML/CFT Guidelines | Bank of Mauritius AML/CFT Guideline (2022)</t>
        </is>
      </c>
    </row>
    <row r="9"/>
    <row r="10">
      <c r="A10" s="29" t="inlineStr">
        <is>
          <t xml:space="preserve">  SCORING SCALE</t>
        </is>
      </c>
    </row>
    <row r="11" ht="53.75" customHeight="1">
      <c r="A11" s="30" t="inlineStr">
        <is>
          <t>Each sub-factor is scored on a 1–4 scale:
  1 = Low Risk
  2 = Medium Risk
  3 = High Risk
  4 = Very High Risk</t>
        </is>
      </c>
    </row>
    <row r="12"/>
    <row r="13">
      <c r="A13" s="29" t="inlineStr">
        <is>
          <t xml:space="preserve">  DIMENSION WEIGHTS</t>
        </is>
      </c>
    </row>
    <row r="14" ht="126.75" customHeight="1">
      <c r="A14" s="30" t="inlineStr">
        <is>
          <t>Dimension 1: Customer / Entity Risk — 30%
Dimension 2: Geographic Risk — 25%
  • 2.1 Country of Incorporation (25%)
  • 2.2 UBO Nationalities (20%)
  • 2.3 Intermediary Shareholder Jurisdictions (20%)
  • 2.4 Countries of Operation (20%)
  • 2.5 Target Markets / Payment Corridors (15%)
Dimension 3: Product / Service Risk — 20%
Dimension 4: Industry / Sector Risk — 15%
Dimension 5: Delivery Channel Risk — 10%
Sub-factors 1.5 (Source of Wealth) and 1.6 (Initial Source of Funds) are included under Dimension 1 as customer-level risk indicators.</t>
        </is>
      </c>
    </row>
    <row r="15"/>
    <row r="16">
      <c r="A16" s="29" t="inlineStr">
        <is>
          <t xml:space="preserve">  COMPOSITE SCORE</t>
        </is>
      </c>
    </row>
    <row r="17" ht="32.75" customHeight="1">
      <c r="A17" s="30" t="inlineStr">
        <is>
          <t>The weighted composite score is calculated as:
  Score = (Sum of all dimension weighted scores ÷ 4) × 100
This produces a normalised score from 0 to 100.</t>
        </is>
      </c>
    </row>
    <row r="18"/>
    <row r="19">
      <c r="A19" s="29" t="inlineStr">
        <is>
          <t xml:space="preserve">  RISK THRESHOLDS</t>
        </is>
      </c>
    </row>
    <row r="20" ht="32.75" customHeight="1">
      <c r="A20" s="30" t="inlineStr">
        <is>
          <t>Low Risk: Score 0–39 → Simplified Due Diligence (SDD)
Medium Risk: Score 40–69 → Customer Due Diligence (CDD)
High Risk: Score 70–100 → Enhanced Due Diligence (EDD)</t>
        </is>
      </c>
    </row>
    <row r="21"/>
    <row r="22">
      <c r="A22" s="29" t="inlineStr">
        <is>
          <t xml:space="preserve">  COMPLIANCE ESCALATION</t>
        </is>
      </c>
    </row>
    <row r="23" ht="53.75" customHeight="1">
      <c r="A23" s="30" t="inlineStr">
        <is>
          <t>Compliance approval is MANDATORY before proceeding when:
  (a) Any individual sub-factor scores 4 (Very High Risk), OR
  (b) The business sector is classified as Very High Risk, OR
  (c) The overall composite score is 85 or above.
All escalated cases must be reviewed and approved by the Chief Compliance Officer.</t>
        </is>
      </c>
    </row>
    <row r="24"/>
    <row r="25">
      <c r="A25" s="29" t="inlineStr">
        <is>
          <t xml:space="preserve">  DUE DILIGENCE LEVELS</t>
        </is>
      </c>
    </row>
    <row r="26" ht="32.75" customHeight="1">
      <c r="A26" s="30" t="inlineStr">
        <is>
          <t>SDD (Low Risk): Standard identity verification, basic UBO check, standard document collection
CDD (Medium Risk): Full KYC, UBO verification, source of funds, business verification
EDD (High Risk): All CDD plus senior management approval, enhanced source of funds/wealth, ongoing enhanced monitoring, annual review</t>
        </is>
      </c>
    </row>
    <row r="27"/>
    <row r="28">
      <c r="A28" s="29" t="inlineStr">
        <is>
          <t xml:space="preserve">  VERY HIGH RISK SECTORS</t>
        </is>
      </c>
    </row>
    <row r="29" ht="64.25" customHeight="1">
      <c r="A29" s="30" t="inlineStr">
        <is>
          <t>The following sectors are automatically flagged for compliance approval regardless of overall score:
  • Cryptocurrency / Virtual Asset Services
  • Gambling / Gaming / Betting
  • Arms / Defence / Military Equipment
  • Adult Entertainment
  • Shell Company / Nominee Services</t>
        </is>
      </c>
    </row>
    <row r="30"/>
    <row r="31">
      <c r="A31" s="29" t="inlineStr">
        <is>
          <t xml:space="preserve">  REVIEW SCHEDULE</t>
        </is>
      </c>
    </row>
    <row r="32" ht="53.75" customHeight="1">
      <c r="A32" s="30" t="inlineStr">
        <is>
          <t>This model must be reviewed:
  • Annually as part of the AML/CFT annual review
  • Following each FATF Plenary (February, June, October)
  • Following any material change to ARIE Finance's business model or client base
  • Following any regulatory guidance update from FSC Mauritius or Bank of Mauritius</t>
        </is>
      </c>
    </row>
    <row r="33"/>
    <row r="34">
      <c r="A34" s="42" t="inlineStr">
        <is>
          <t>FLOOR RULES — SANCTIONED COUNTRY / NATIONALITY OVERRIDES (v1.6)</t>
        </is>
      </c>
    </row>
    <row r="35" ht="53.75" customHeight="1">
      <c r="A35" s="43" t="inlineStr">
        <is>
          <t>The following floor rules enforce a mandatory minimum risk rating of VERY HIGH (score ≥ 70) regardless of the composite score. These are non-negotiable and cannot be overridden by officer discretion.</t>
        </is>
      </c>
    </row>
    <row r="37">
      <c r="A37" s="44" t="inlineStr">
        <is>
          <t>Floor Rule 1 — Sanctioned Country of Incorporation:</t>
        </is>
      </c>
    </row>
    <row r="38">
      <c r="A38" s="43" t="inlineStr">
        <is>
          <t>If the entity's country of incorporation is in the FATF Black List (Iran, North Korea, Myanmar) or the Sanctions List (Iran, North Korea, Syria, Cuba, Crimea), the overall risk level is forced to VERY HIGH (score ≥ 70).</t>
        </is>
      </c>
    </row>
    <row r="40">
      <c r="A40" s="44" t="inlineStr">
        <is>
          <t>Floor Rule 2 — UBO/Director Sanctioned Nationality:</t>
        </is>
      </c>
    </row>
    <row r="41">
      <c r="A41" s="43" t="inlineStr">
        <is>
          <t>If any Ultimate Beneficial Owner or Director holds nationality of a FATF Black List or Sanctions List country, the overall risk level is forced to VERY HIGH (score ≥ 70).</t>
        </is>
      </c>
    </row>
    <row r="43">
      <c r="A43" s="45" t="inlineStr">
        <is>
          <t>These rules apply after the weighted composite score is calculated and override any lower risk classification.</t>
        </is>
      </c>
    </row>
    <row r="46">
      <c r="A46" s="29" t="inlineStr">
        <is>
          <t xml:space="preserve">  VERSION CONTROL</t>
        </is>
      </c>
    </row>
    <row r="47">
      <c r="A47" s="46" t="inlineStr">
        <is>
          <t>Version 1.6 — 27 March 2026
Change: Added Floor Rules for sanctioned country incorporation (Rule 1) and UBO/director sanctioned nationality (Rule 2). Both force VERY_HIGH risk rating regardless of composite score. North Korean demonym mapping corrected.
Version 1.5 — 17 March 2026
Change: Geographic Risk (Dimension 2) expanded from 3 to 5 sub-criteria. Added UBO Nationalities (20%) and Intermediary Shareholder Jurisdictions (20%) as new sub-factors. Rebalanced geographic sub-factor weights: Country of Incorporation 25%, UBO Nationalities 20%, Intermediary Shareholder Jurisdictions 20%, Countries of Operation 20%, Target Markets 15%. Updated VLOOKUP ranges and data validations. Entity types expanded in v1.4 (Trust, Foundation, Regulated Fund, Unregulated Fund/SPV split). Added Management Consulting and Financial/Tax Advisory sectors.</t>
        </is>
      </c>
    </row>
  </sheetData>
  <mergeCells count="24">
    <mergeCell ref="A11:B11"/>
    <mergeCell ref="A1:B1"/>
    <mergeCell ref="A16:B16"/>
    <mergeCell ref="A7:B7"/>
    <mergeCell ref="A25:B25"/>
    <mergeCell ref="A26:B26"/>
    <mergeCell ref="A2:B2"/>
    <mergeCell ref="A5:B5"/>
    <mergeCell ref="A32:B32"/>
    <mergeCell ref="A14:B14"/>
    <mergeCell ref="A23:B23"/>
    <mergeCell ref="A17:B17"/>
    <mergeCell ref="A8:B8"/>
    <mergeCell ref="A22:B22"/>
    <mergeCell ref="A35:B35"/>
    <mergeCell ref="A4:B4"/>
    <mergeCell ref="A20:B20"/>
    <mergeCell ref="A29:B29"/>
    <mergeCell ref="A19:B19"/>
    <mergeCell ref="A10:B10"/>
    <mergeCell ref="A28:B28"/>
    <mergeCell ref="A13:B13"/>
    <mergeCell ref="A31:B31"/>
    <mergeCell ref="A34:B34"/>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2026-03-17T09:34:03Z</dcterms:created>
  <dcterms:modified xsi:type="dcterms:W3CDTF">2026-03-27T07:05:51Z</dcterms:modified>
  <cp:lastModifiedBy>Aisha Sudally</cp:lastModifiedBy>
  <cp:revision>0</cp:revision>
</cp:coreProperties>
</file>